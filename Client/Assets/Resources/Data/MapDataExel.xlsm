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F7AC8D5F-3190-48B0-8472-122D4C26133B}" xr6:coauthVersionLast="47" xr6:coauthVersionMax="47" xr10:uidLastSave="{00000000-0000-0000-0000-000000000000}"/>
  <bookViews>
    <workbookView xWindow="-120" yWindow="-120" windowWidth="29040" windowHeight="15840" xr2:uid="{D792CF9F-C76B-4E69-BBE5-436968C6605C}"/>
  </bookViews>
  <sheets>
    <sheet name="DataCreate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2" i="3" l="1"/>
  <c r="J61" i="3"/>
  <c r="H61" i="3"/>
  <c r="J60" i="3"/>
  <c r="H60" i="3"/>
  <c r="H59" i="3"/>
  <c r="J58" i="3"/>
  <c r="H58" i="3"/>
  <c r="H57" i="3"/>
  <c r="J56" i="3"/>
  <c r="H56" i="3"/>
  <c r="H55" i="3"/>
  <c r="W45" i="3"/>
  <c r="H50" i="3" s="1"/>
  <c r="J52" i="3"/>
  <c r="H52" i="3"/>
  <c r="J51" i="3"/>
  <c r="H51" i="3"/>
  <c r="J49" i="3"/>
  <c r="H49" i="3"/>
  <c r="J47" i="3"/>
  <c r="H47" i="3"/>
  <c r="H46" i="3"/>
  <c r="H53" i="3" l="1"/>
  <c r="H48" i="3"/>
</calcChain>
</file>

<file path=xl/sharedStrings.xml><?xml version="1.0" encoding="utf-8"?>
<sst xmlns="http://schemas.openxmlformats.org/spreadsheetml/2006/main" count="245" uniqueCount="93">
  <si>
    <t>name</t>
    <phoneticPr fontId="1" type="noConversion"/>
  </si>
  <si>
    <t>mapId</t>
    <phoneticPr fontId="1" type="noConversion"/>
  </si>
  <si>
    <t>townName</t>
    <phoneticPr fontId="1" type="noConversion"/>
  </si>
  <si>
    <t>townId</t>
    <phoneticPr fontId="1" type="noConversion"/>
  </si>
  <si>
    <t>soundPath</t>
    <phoneticPr fontId="1" type="noConversion"/>
  </si>
  <si>
    <t>낯선 숲 I</t>
    <phoneticPr fontId="1" type="noConversion"/>
  </si>
  <si>
    <t>하이네겐</t>
  </si>
  <si>
    <t>하이네겐</t>
    <phoneticPr fontId="1" type="noConversion"/>
  </si>
  <si>
    <t>Sounds/Bgm/1</t>
  </si>
  <si>
    <t>낯선 숲 II</t>
    <phoneticPr fontId="1" type="noConversion"/>
  </si>
  <si>
    <t>낯선 숲 III</t>
    <phoneticPr fontId="1" type="noConversion"/>
  </si>
  <si>
    <t>달팽이 캠프</t>
    <phoneticPr fontId="1" type="noConversion"/>
  </si>
  <si>
    <t>던전 초입</t>
    <phoneticPr fontId="1" type="noConversion"/>
  </si>
  <si>
    <t>슬라임 굴 I</t>
    <phoneticPr fontId="1" type="noConversion"/>
  </si>
  <si>
    <t>슬라임 굴 II</t>
  </si>
  <si>
    <t>spawnTime</t>
    <phoneticPr fontId="1" type="noConversion"/>
  </si>
  <si>
    <t>슬라임 굴 III</t>
    <phoneticPr fontId="1" type="noConversion"/>
  </si>
  <si>
    <t>슬라임 굴 캠프</t>
    <phoneticPr fontId="1" type="noConversion"/>
  </si>
  <si>
    <t>슬라임굴 - 오래된 왕좌</t>
    <phoneticPr fontId="1" type="noConversion"/>
  </si>
  <si>
    <t>슬라임 굴 IV</t>
  </si>
  <si>
    <t>숨겨진 길 I</t>
    <phoneticPr fontId="1" type="noConversion"/>
  </si>
  <si>
    <t>숨겨진 길 II</t>
    <phoneticPr fontId="1" type="noConversion"/>
  </si>
  <si>
    <t>고대의 벽</t>
    <phoneticPr fontId="1" type="noConversion"/>
  </si>
  <si>
    <t>노파의 방</t>
    <phoneticPr fontId="1" type="noConversion"/>
  </si>
  <si>
    <t>슬라임굴 던전 V</t>
    <phoneticPr fontId="1" type="noConversion"/>
  </si>
  <si>
    <t>마법모자의 방</t>
    <phoneticPr fontId="1" type="noConversion"/>
  </si>
  <si>
    <t>슬라임 굴 VI</t>
    <phoneticPr fontId="1" type="noConversion"/>
  </si>
  <si>
    <t>고대석상의 방</t>
    <phoneticPr fontId="1" type="noConversion"/>
  </si>
  <si>
    <t>막다른 길</t>
    <phoneticPr fontId="1" type="noConversion"/>
  </si>
  <si>
    <t>하이네겐 서쪽필드</t>
    <phoneticPr fontId="1" type="noConversion"/>
  </si>
  <si>
    <t>하이네겐 북쪽필드</t>
  </si>
  <si>
    <t>하이네겐 동쪽필드</t>
  </si>
  <si>
    <t>하이네겐 남쪽필드</t>
    <phoneticPr fontId="1" type="noConversion"/>
  </si>
  <si>
    <t>하이네겐 서쪽 숲 I</t>
    <phoneticPr fontId="1" type="noConversion"/>
  </si>
  <si>
    <t>하이네겐 전직소</t>
    <phoneticPr fontId="1" type="noConversion"/>
  </si>
  <si>
    <t>하이네겐 서쪽 숲 II</t>
    <phoneticPr fontId="1" type="noConversion"/>
  </si>
  <si>
    <t>하이네겐 서쪽 숲 III</t>
    <phoneticPr fontId="1" type="noConversion"/>
  </si>
  <si>
    <t>지하연구소</t>
    <phoneticPr fontId="1" type="noConversion"/>
  </si>
  <si>
    <t>소마르 북부</t>
  </si>
  <si>
    <t>소마르 북부</t>
    <phoneticPr fontId="1" type="noConversion"/>
  </si>
  <si>
    <t>양굴 1-1</t>
  </si>
  <si>
    <t>콜드필드</t>
  </si>
  <si>
    <t>양굴 1-2</t>
  </si>
  <si>
    <t>양굴 1-3</t>
  </si>
  <si>
    <t>양굴 1-4</t>
  </si>
  <si>
    <t>양굴 1-5</t>
  </si>
  <si>
    <t>소마르 남부</t>
    <phoneticPr fontId="1" type="noConversion"/>
  </si>
  <si>
    <t>북쪽 동굴 입구</t>
    <phoneticPr fontId="1" type="noConversion"/>
  </si>
  <si>
    <t>북쪽 동굴 1</t>
    <phoneticPr fontId="1" type="noConversion"/>
  </si>
  <si>
    <t>북쪽 동굴 2</t>
    <phoneticPr fontId="1" type="noConversion"/>
  </si>
  <si>
    <t>낭떠러지</t>
    <phoneticPr fontId="1" type="noConversion"/>
  </si>
  <si>
    <t>사우스도어</t>
    <phoneticPr fontId="1" type="noConversion"/>
  </si>
  <si>
    <t>사우스도어 잡화점</t>
    <phoneticPr fontId="1" type="noConversion"/>
  </si>
  <si>
    <t>사우스도어 무기점</t>
    <phoneticPr fontId="1" type="noConversion"/>
  </si>
  <si>
    <t>사우스도어 방어구점</t>
    <phoneticPr fontId="1" type="noConversion"/>
  </si>
  <si>
    <t>동굴 1</t>
    <phoneticPr fontId="1" type="noConversion"/>
  </si>
  <si>
    <t>콜드필드</t>
    <phoneticPr fontId="1" type="noConversion"/>
  </si>
  <si>
    <t>콜드필드 중앙본부</t>
    <phoneticPr fontId="1" type="noConversion"/>
  </si>
  <si>
    <t>양굴 1-6</t>
  </si>
  <si>
    <t>양굴 1-7</t>
  </si>
  <si>
    <t>양굴 1-8</t>
  </si>
  <si>
    <t>1</t>
    <phoneticPr fontId="1" type="noConversion"/>
  </si>
  <si>
    <t>18</t>
    <phoneticPr fontId="1" type="noConversion"/>
  </si>
  <si>
    <t>2</t>
    <phoneticPr fontId="1" type="noConversion"/>
  </si>
  <si>
    <t>mID1</t>
    <phoneticPr fontId="1" type="noConversion"/>
  </si>
  <si>
    <t>mID2</t>
  </si>
  <si>
    <t>mQ1</t>
    <phoneticPr fontId="1" type="noConversion"/>
  </si>
  <si>
    <t>mQ2</t>
  </si>
  <si>
    <t>mID3</t>
  </si>
  <si>
    <t>mQ3</t>
  </si>
  <si>
    <t>30</t>
    <phoneticPr fontId="1" type="noConversion"/>
  </si>
  <si>
    <t>15</t>
    <phoneticPr fontId="1" type="noConversion"/>
  </si>
  <si>
    <t>9</t>
    <phoneticPr fontId="1" type="noConversion"/>
  </si>
  <si>
    <t>3</t>
    <phoneticPr fontId="1" type="noConversion"/>
  </si>
  <si>
    <t>5</t>
    <phoneticPr fontId="1" type="noConversion"/>
  </si>
  <si>
    <t>20</t>
    <phoneticPr fontId="1" type="noConversion"/>
  </si>
  <si>
    <t>12</t>
    <phoneticPr fontId="1" type="noConversion"/>
  </si>
  <si>
    <t>25</t>
    <phoneticPr fontId="1" type="noConversion"/>
  </si>
  <si>
    <t>13</t>
    <phoneticPr fontId="1" type="noConversion"/>
  </si>
  <si>
    <t>7</t>
    <phoneticPr fontId="1" type="noConversion"/>
  </si>
  <si>
    <t>6</t>
    <phoneticPr fontId="1" type="noConversion"/>
  </si>
  <si>
    <t>8</t>
    <phoneticPr fontId="1" type="noConversion"/>
  </si>
  <si>
    <t>10</t>
    <phoneticPr fontId="1" type="noConversion"/>
  </si>
  <si>
    <t>양굴 입구</t>
    <phoneticPr fontId="1" type="noConversion"/>
  </si>
  <si>
    <t>돼지굴 1-1</t>
    <phoneticPr fontId="1" type="noConversion"/>
  </si>
  <si>
    <t>돼지굴 1-2</t>
    <phoneticPr fontId="1" type="noConversion"/>
  </si>
  <si>
    <t>돼지굴 1-3</t>
  </si>
  <si>
    <t>돼지굴 1-4</t>
  </si>
  <si>
    <t>돼지굴 1-5</t>
  </si>
  <si>
    <t>돼지굴 1-6</t>
  </si>
  <si>
    <t>돼지굴 1-7</t>
  </si>
  <si>
    <t>돼지굴 1-8</t>
  </si>
  <si>
    <t>돼지굴 입구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</si>
</sst>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0" fontId="2" fillId="2" borderId="1" xfId="0" applyNumberFormat="1" applyFont="1" applyFill="1" applyBorder="1">
      <alignment vertical="center"/>
    </xf>
    <xf numFmtId="0" fontId="3" fillId="0" borderId="1" xfId="0" applyNumberFormat="1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W64"/>
  <sheetViews>
    <sheetView tabSelected="1" topLeftCell="A34" zoomScaleNormal="100" workbookViewId="0">
      <selection activeCell="G63" sqref="G63"/>
    </sheetView>
  </sheetViews>
  <sheetFormatPr defaultRowHeight="16.5" x14ac:dyDescent="0.3"/>
  <cols>
    <col min="1" max="1" width="10.125" style="3" customWidth="1"/>
    <col min="2" max="2" width="20.625" style="3" customWidth="1"/>
    <col min="3" max="5" width="15.25" style="3" customWidth="1"/>
    <col min="6" max="6" width="13.75" style="3" customWidth="1"/>
    <col min="7" max="7" width="3.625" style="4" customWidth="1"/>
    <col min="8" max="8" width="3.625" style="5" customWidth="1"/>
    <col min="9" max="9" width="3.625" style="4" customWidth="1"/>
    <col min="10" max="10" width="3.625" style="5" customWidth="1"/>
    <col min="11" max="11" width="3.625" style="4" customWidth="1"/>
    <col min="12" max="12" width="3.625" style="5" customWidth="1"/>
    <col min="14" max="21" width="2.625" customWidth="1"/>
    <col min="25" max="25" width="13.125" customWidth="1"/>
    <col min="31" max="36" width="6.75" customWidth="1"/>
  </cols>
  <sheetData>
    <row r="1" spans="1:12" x14ac:dyDescent="0.3">
      <c r="A1" s="3" t="s">
        <v>1</v>
      </c>
      <c r="B1" s="3" t="s">
        <v>0</v>
      </c>
      <c r="C1" s="3" t="s">
        <v>2</v>
      </c>
      <c r="D1" s="3" t="s">
        <v>3</v>
      </c>
      <c r="E1" s="3" t="s">
        <v>4</v>
      </c>
      <c r="F1" s="3" t="s">
        <v>15</v>
      </c>
      <c r="G1" s="4" t="s">
        <v>64</v>
      </c>
      <c r="H1" s="5" t="s">
        <v>66</v>
      </c>
      <c r="I1" s="4" t="s">
        <v>65</v>
      </c>
      <c r="J1" s="5" t="s">
        <v>67</v>
      </c>
      <c r="K1" s="4" t="s">
        <v>68</v>
      </c>
      <c r="L1" s="5" t="s">
        <v>69</v>
      </c>
    </row>
    <row r="2" spans="1:12" x14ac:dyDescent="0.3">
      <c r="A2" s="3">
        <v>1</v>
      </c>
      <c r="B2" s="3" t="s">
        <v>5</v>
      </c>
      <c r="C2" s="3" t="s">
        <v>7</v>
      </c>
      <c r="D2" s="3">
        <v>20100000</v>
      </c>
      <c r="E2" s="3" t="s">
        <v>8</v>
      </c>
      <c r="F2" s="3">
        <v>0</v>
      </c>
    </row>
    <row r="3" spans="1:12" x14ac:dyDescent="0.3">
      <c r="A3" s="3">
        <v>2</v>
      </c>
      <c r="B3" s="3" t="s">
        <v>9</v>
      </c>
      <c r="C3" s="3" t="s">
        <v>7</v>
      </c>
      <c r="D3" s="3">
        <v>20100000</v>
      </c>
      <c r="E3" s="3" t="s">
        <v>8</v>
      </c>
      <c r="F3" s="3">
        <v>0</v>
      </c>
    </row>
    <row r="4" spans="1:12" x14ac:dyDescent="0.3">
      <c r="A4" s="3">
        <v>3</v>
      </c>
      <c r="B4" s="3" t="s">
        <v>10</v>
      </c>
      <c r="C4" s="3" t="s">
        <v>7</v>
      </c>
      <c r="D4" s="3">
        <v>20100000</v>
      </c>
      <c r="E4" s="3" t="s">
        <v>8</v>
      </c>
      <c r="F4" s="3">
        <v>0</v>
      </c>
    </row>
    <row r="5" spans="1:12" x14ac:dyDescent="0.3">
      <c r="A5" s="3">
        <v>4</v>
      </c>
      <c r="B5" s="3" t="s">
        <v>11</v>
      </c>
      <c r="C5" s="3" t="s">
        <v>7</v>
      </c>
      <c r="D5" s="3">
        <v>20100000</v>
      </c>
      <c r="E5" s="3" t="s">
        <v>8</v>
      </c>
      <c r="F5" s="3">
        <v>0</v>
      </c>
    </row>
    <row r="6" spans="1:12" x14ac:dyDescent="0.3">
      <c r="A6" s="3">
        <v>10100000</v>
      </c>
      <c r="B6" s="3" t="s">
        <v>12</v>
      </c>
      <c r="C6" s="3" t="s">
        <v>7</v>
      </c>
      <c r="D6" s="3">
        <v>20100000</v>
      </c>
      <c r="E6" s="3" t="s">
        <v>8</v>
      </c>
      <c r="F6" s="3">
        <v>0</v>
      </c>
    </row>
    <row r="7" spans="1:12" x14ac:dyDescent="0.3">
      <c r="A7" s="3">
        <v>10100010</v>
      </c>
      <c r="B7" s="3" t="s">
        <v>13</v>
      </c>
      <c r="C7" s="3" t="s">
        <v>7</v>
      </c>
      <c r="D7" s="3">
        <v>20100000</v>
      </c>
      <c r="E7" s="3" t="s">
        <v>8</v>
      </c>
      <c r="F7" s="3">
        <v>5</v>
      </c>
      <c r="G7" s="4" t="s">
        <v>61</v>
      </c>
      <c r="H7" s="5" t="s">
        <v>70</v>
      </c>
    </row>
    <row r="8" spans="1:12" x14ac:dyDescent="0.3">
      <c r="A8" s="3">
        <v>10100020</v>
      </c>
      <c r="B8" s="3" t="s">
        <v>14</v>
      </c>
      <c r="C8" s="3" t="s">
        <v>7</v>
      </c>
      <c r="D8" s="3">
        <v>20100000</v>
      </c>
      <c r="E8" s="3" t="s">
        <v>8</v>
      </c>
      <c r="F8" s="3">
        <v>5</v>
      </c>
      <c r="G8" s="4" t="s">
        <v>61</v>
      </c>
      <c r="H8" s="5" t="s">
        <v>71</v>
      </c>
      <c r="I8" s="4" t="s">
        <v>63</v>
      </c>
      <c r="J8" s="5" t="s">
        <v>71</v>
      </c>
    </row>
    <row r="9" spans="1:12" x14ac:dyDescent="0.3">
      <c r="A9" s="3">
        <v>10100030</v>
      </c>
      <c r="B9" s="3" t="s">
        <v>16</v>
      </c>
      <c r="C9" s="3" t="s">
        <v>7</v>
      </c>
      <c r="D9" s="3">
        <v>20100000</v>
      </c>
      <c r="E9" s="3" t="s">
        <v>8</v>
      </c>
      <c r="F9" s="3">
        <v>5</v>
      </c>
      <c r="G9" s="4" t="s">
        <v>61</v>
      </c>
      <c r="H9" s="5" t="s">
        <v>62</v>
      </c>
      <c r="I9" s="4" t="s">
        <v>63</v>
      </c>
      <c r="J9" s="5" t="s">
        <v>72</v>
      </c>
      <c r="K9" s="4" t="s">
        <v>73</v>
      </c>
      <c r="L9" s="5" t="s">
        <v>72</v>
      </c>
    </row>
    <row r="10" spans="1:12" x14ac:dyDescent="0.3">
      <c r="A10" s="3">
        <v>10100031</v>
      </c>
      <c r="B10" s="3" t="s">
        <v>17</v>
      </c>
      <c r="C10" s="3" t="s">
        <v>7</v>
      </c>
      <c r="D10" s="3">
        <v>20100000</v>
      </c>
      <c r="E10" s="3" t="s">
        <v>8</v>
      </c>
      <c r="F10" s="3">
        <v>0</v>
      </c>
    </row>
    <row r="11" spans="1:12" x14ac:dyDescent="0.3">
      <c r="A11" s="3">
        <v>10100032</v>
      </c>
      <c r="B11" s="3" t="s">
        <v>18</v>
      </c>
      <c r="C11" s="3" t="s">
        <v>7</v>
      </c>
      <c r="D11" s="3">
        <v>20100000</v>
      </c>
      <c r="E11" s="3" t="s">
        <v>8</v>
      </c>
      <c r="F11" s="3">
        <v>5</v>
      </c>
      <c r="G11" s="4" t="s">
        <v>74</v>
      </c>
      <c r="H11" s="5" t="s">
        <v>75</v>
      </c>
    </row>
    <row r="12" spans="1:12" x14ac:dyDescent="0.3">
      <c r="A12" s="3">
        <v>10100040</v>
      </c>
      <c r="B12" s="3" t="s">
        <v>19</v>
      </c>
      <c r="C12" s="3" t="s">
        <v>7</v>
      </c>
      <c r="D12" s="3">
        <v>20100000</v>
      </c>
      <c r="E12" s="3" t="s">
        <v>8</v>
      </c>
      <c r="F12" s="3">
        <v>5</v>
      </c>
      <c r="G12" s="4" t="s">
        <v>61</v>
      </c>
      <c r="H12" s="5" t="s">
        <v>62</v>
      </c>
      <c r="I12" s="4" t="s">
        <v>74</v>
      </c>
      <c r="J12" s="5" t="s">
        <v>75</v>
      </c>
      <c r="K12" s="4" t="s">
        <v>76</v>
      </c>
      <c r="L12" s="5" t="s">
        <v>72</v>
      </c>
    </row>
    <row r="13" spans="1:12" x14ac:dyDescent="0.3">
      <c r="A13" s="3">
        <v>10100041</v>
      </c>
      <c r="B13" s="3" t="s">
        <v>20</v>
      </c>
      <c r="C13" s="3" t="s">
        <v>7</v>
      </c>
      <c r="D13" s="3">
        <v>20100000</v>
      </c>
      <c r="E13" s="3" t="s">
        <v>8</v>
      </c>
      <c r="F13" s="3">
        <v>5</v>
      </c>
      <c r="G13" s="4" t="s">
        <v>74</v>
      </c>
      <c r="H13" s="5" t="s">
        <v>77</v>
      </c>
      <c r="I13" s="4" t="s">
        <v>78</v>
      </c>
      <c r="J13" s="5" t="s">
        <v>72</v>
      </c>
    </row>
    <row r="14" spans="1:12" x14ac:dyDescent="0.3">
      <c r="A14" s="3">
        <v>10100042</v>
      </c>
      <c r="B14" s="3" t="s">
        <v>21</v>
      </c>
      <c r="C14" s="3" t="s">
        <v>7</v>
      </c>
      <c r="D14" s="3">
        <v>20100000</v>
      </c>
      <c r="E14" s="3" t="s">
        <v>8</v>
      </c>
      <c r="F14" s="3">
        <v>5</v>
      </c>
      <c r="G14" s="4" t="s">
        <v>74</v>
      </c>
      <c r="H14" s="5" t="s">
        <v>76</v>
      </c>
    </row>
    <row r="15" spans="1:12" x14ac:dyDescent="0.3">
      <c r="A15" s="3">
        <v>10100043</v>
      </c>
      <c r="B15" s="3" t="s">
        <v>22</v>
      </c>
      <c r="C15" s="3" t="s">
        <v>7</v>
      </c>
      <c r="D15" s="3">
        <v>20100000</v>
      </c>
      <c r="E15" s="3" t="s">
        <v>8</v>
      </c>
      <c r="F15" s="3">
        <v>0</v>
      </c>
    </row>
    <row r="16" spans="1:12" x14ac:dyDescent="0.3">
      <c r="A16" s="3">
        <v>10100044</v>
      </c>
      <c r="B16" s="3" t="s">
        <v>23</v>
      </c>
      <c r="C16" s="3" t="s">
        <v>7</v>
      </c>
      <c r="D16" s="3">
        <v>20100000</v>
      </c>
      <c r="E16" s="3" t="s">
        <v>8</v>
      </c>
      <c r="F16" s="3">
        <v>0</v>
      </c>
    </row>
    <row r="17" spans="1:12" x14ac:dyDescent="0.3">
      <c r="A17" s="3">
        <v>10100050</v>
      </c>
      <c r="B17" s="3" t="s">
        <v>24</v>
      </c>
      <c r="C17" s="3" t="s">
        <v>7</v>
      </c>
      <c r="D17" s="3">
        <v>20100000</v>
      </c>
      <c r="E17" s="3" t="s">
        <v>8</v>
      </c>
      <c r="F17" s="3">
        <v>5</v>
      </c>
      <c r="G17" s="4" t="s">
        <v>74</v>
      </c>
      <c r="H17" s="5" t="s">
        <v>71</v>
      </c>
      <c r="I17" s="4" t="s">
        <v>80</v>
      </c>
      <c r="J17" s="5" t="s">
        <v>71</v>
      </c>
      <c r="K17" s="4" t="s">
        <v>79</v>
      </c>
      <c r="L17" s="5" t="s">
        <v>71</v>
      </c>
    </row>
    <row r="18" spans="1:12" x14ac:dyDescent="0.3">
      <c r="A18" s="3">
        <v>10100051</v>
      </c>
      <c r="B18" s="3" t="s">
        <v>25</v>
      </c>
      <c r="C18" s="3" t="s">
        <v>7</v>
      </c>
      <c r="D18" s="3">
        <v>20100000</v>
      </c>
      <c r="E18" s="3" t="s">
        <v>8</v>
      </c>
      <c r="F18" s="3">
        <v>0</v>
      </c>
    </row>
    <row r="19" spans="1:12" x14ac:dyDescent="0.3">
      <c r="A19" s="3">
        <v>10100060</v>
      </c>
      <c r="B19" s="3" t="s">
        <v>26</v>
      </c>
      <c r="C19" s="3" t="s">
        <v>7</v>
      </c>
      <c r="D19" s="3">
        <v>20100000</v>
      </c>
      <c r="E19" s="3" t="s">
        <v>8</v>
      </c>
      <c r="F19" s="3">
        <v>5</v>
      </c>
      <c r="G19" s="4" t="s">
        <v>74</v>
      </c>
      <c r="H19" s="5" t="s">
        <v>75</v>
      </c>
      <c r="I19" s="4" t="s">
        <v>80</v>
      </c>
      <c r="J19" s="5" t="s">
        <v>75</v>
      </c>
      <c r="K19" s="4" t="s">
        <v>79</v>
      </c>
      <c r="L19" s="5" t="s">
        <v>75</v>
      </c>
    </row>
    <row r="20" spans="1:12" x14ac:dyDescent="0.3">
      <c r="A20" s="3">
        <v>10100061</v>
      </c>
      <c r="B20" s="3" t="s">
        <v>27</v>
      </c>
      <c r="C20" s="3" t="s">
        <v>7</v>
      </c>
      <c r="D20" s="3">
        <v>20100000</v>
      </c>
      <c r="E20" s="3" t="s">
        <v>8</v>
      </c>
      <c r="F20" s="3">
        <v>0</v>
      </c>
    </row>
    <row r="21" spans="1:12" x14ac:dyDescent="0.3">
      <c r="A21" s="3">
        <v>10100070</v>
      </c>
      <c r="B21" s="3" t="s">
        <v>28</v>
      </c>
      <c r="C21" s="3" t="s">
        <v>7</v>
      </c>
      <c r="D21" s="3">
        <v>20100000</v>
      </c>
      <c r="E21" s="3" t="s">
        <v>8</v>
      </c>
      <c r="F21" s="3">
        <v>0</v>
      </c>
    </row>
    <row r="22" spans="1:12" x14ac:dyDescent="0.3">
      <c r="A22" s="3">
        <v>20100000</v>
      </c>
      <c r="B22" s="3" t="s">
        <v>6</v>
      </c>
      <c r="C22" s="3" t="s">
        <v>7</v>
      </c>
      <c r="D22" s="3">
        <v>20100000</v>
      </c>
      <c r="E22" s="3" t="s">
        <v>8</v>
      </c>
      <c r="F22" s="3">
        <v>0</v>
      </c>
    </row>
    <row r="23" spans="1:12" x14ac:dyDescent="0.3">
      <c r="A23" s="3">
        <v>20100001</v>
      </c>
      <c r="B23" s="3" t="s">
        <v>29</v>
      </c>
      <c r="C23" s="3" t="s">
        <v>7</v>
      </c>
      <c r="D23" s="3">
        <v>20100000</v>
      </c>
      <c r="E23" s="3" t="s">
        <v>8</v>
      </c>
      <c r="F23" s="3">
        <v>0</v>
      </c>
    </row>
    <row r="24" spans="1:12" x14ac:dyDescent="0.3">
      <c r="A24" s="3">
        <v>20100002</v>
      </c>
      <c r="B24" s="3" t="s">
        <v>30</v>
      </c>
      <c r="C24" s="3" t="s">
        <v>7</v>
      </c>
      <c r="D24" s="3">
        <v>20100000</v>
      </c>
      <c r="E24" s="3" t="s">
        <v>8</v>
      </c>
      <c r="F24" s="3">
        <v>0</v>
      </c>
    </row>
    <row r="25" spans="1:12" x14ac:dyDescent="0.3">
      <c r="A25" s="3">
        <v>20100003</v>
      </c>
      <c r="B25" s="3" t="s">
        <v>31</v>
      </c>
      <c r="C25" s="3" t="s">
        <v>7</v>
      </c>
      <c r="D25" s="3">
        <v>20100000</v>
      </c>
      <c r="E25" s="3" t="s">
        <v>8</v>
      </c>
      <c r="F25" s="3">
        <v>0</v>
      </c>
    </row>
    <row r="26" spans="1:12" x14ac:dyDescent="0.3">
      <c r="A26" s="3">
        <v>20100004</v>
      </c>
      <c r="B26" s="3" t="s">
        <v>32</v>
      </c>
      <c r="C26" s="3" t="s">
        <v>7</v>
      </c>
      <c r="D26" s="3">
        <v>20100000</v>
      </c>
      <c r="E26" s="3" t="s">
        <v>8</v>
      </c>
      <c r="F26" s="3">
        <v>0</v>
      </c>
    </row>
    <row r="27" spans="1:12" x14ac:dyDescent="0.3">
      <c r="A27" s="3">
        <v>20100005</v>
      </c>
      <c r="B27" s="3" t="s">
        <v>33</v>
      </c>
      <c r="C27" s="3" t="s">
        <v>7</v>
      </c>
      <c r="D27" s="3">
        <v>20100000</v>
      </c>
      <c r="E27" s="3" t="s">
        <v>8</v>
      </c>
      <c r="F27" s="3">
        <v>0</v>
      </c>
    </row>
    <row r="28" spans="1:12" x14ac:dyDescent="0.3">
      <c r="A28" s="3">
        <v>20100006</v>
      </c>
      <c r="B28" s="3" t="s">
        <v>35</v>
      </c>
      <c r="C28" s="3" t="s">
        <v>7</v>
      </c>
      <c r="D28" s="3">
        <v>20100000</v>
      </c>
      <c r="E28" s="3" t="s">
        <v>8</v>
      </c>
      <c r="F28" s="3">
        <v>0</v>
      </c>
    </row>
    <row r="29" spans="1:12" x14ac:dyDescent="0.3">
      <c r="A29" s="3">
        <v>20100007</v>
      </c>
      <c r="B29" s="3" t="s">
        <v>36</v>
      </c>
      <c r="C29" s="3" t="s">
        <v>7</v>
      </c>
      <c r="D29" s="3">
        <v>20100000</v>
      </c>
      <c r="E29" s="3" t="s">
        <v>8</v>
      </c>
      <c r="F29" s="3">
        <v>0</v>
      </c>
    </row>
    <row r="30" spans="1:12" x14ac:dyDescent="0.3">
      <c r="A30" s="3">
        <v>30100000</v>
      </c>
      <c r="B30" s="3" t="s">
        <v>34</v>
      </c>
      <c r="C30" s="3" t="s">
        <v>7</v>
      </c>
      <c r="D30" s="3">
        <v>20100000</v>
      </c>
      <c r="E30" s="3" t="s">
        <v>8</v>
      </c>
      <c r="F30" s="3">
        <v>0</v>
      </c>
    </row>
    <row r="31" spans="1:12" x14ac:dyDescent="0.3">
      <c r="A31" s="3">
        <v>1001</v>
      </c>
      <c r="B31" s="3" t="s">
        <v>37</v>
      </c>
      <c r="C31" s="3" t="s">
        <v>39</v>
      </c>
      <c r="D31" s="3">
        <v>1002</v>
      </c>
      <c r="E31" s="3" t="s">
        <v>8</v>
      </c>
      <c r="F31" s="3">
        <v>0</v>
      </c>
    </row>
    <row r="32" spans="1:12" x14ac:dyDescent="0.3">
      <c r="A32" s="3">
        <v>1002</v>
      </c>
      <c r="B32" s="3" t="s">
        <v>38</v>
      </c>
      <c r="C32" s="3" t="s">
        <v>38</v>
      </c>
      <c r="D32" s="3">
        <v>1002</v>
      </c>
      <c r="E32" s="3" t="s">
        <v>8</v>
      </c>
      <c r="F32" s="3">
        <v>0</v>
      </c>
    </row>
    <row r="33" spans="1:23" x14ac:dyDescent="0.3">
      <c r="A33" s="3">
        <v>1003</v>
      </c>
      <c r="B33" s="3" t="s">
        <v>46</v>
      </c>
      <c r="C33" s="3" t="s">
        <v>46</v>
      </c>
      <c r="D33" s="3">
        <v>1003</v>
      </c>
      <c r="E33" s="3" t="s">
        <v>8</v>
      </c>
      <c r="F33" s="3">
        <v>0</v>
      </c>
    </row>
    <row r="34" spans="1:23" x14ac:dyDescent="0.3">
      <c r="A34" s="3">
        <v>1004</v>
      </c>
      <c r="B34" s="3" t="s">
        <v>47</v>
      </c>
      <c r="C34" s="3" t="s">
        <v>38</v>
      </c>
      <c r="D34" s="3">
        <v>1002</v>
      </c>
      <c r="E34" s="3" t="s">
        <v>8</v>
      </c>
      <c r="F34" s="3">
        <v>0</v>
      </c>
    </row>
    <row r="35" spans="1:23" x14ac:dyDescent="0.3">
      <c r="A35" s="3">
        <v>1005</v>
      </c>
      <c r="B35" s="3" t="s">
        <v>48</v>
      </c>
      <c r="C35" s="3" t="s">
        <v>38</v>
      </c>
      <c r="D35" s="3">
        <v>1002</v>
      </c>
      <c r="E35" s="3" t="s">
        <v>8</v>
      </c>
      <c r="F35" s="3">
        <v>0</v>
      </c>
    </row>
    <row r="36" spans="1:23" x14ac:dyDescent="0.3">
      <c r="A36" s="3">
        <v>1006</v>
      </c>
      <c r="B36" s="3" t="s">
        <v>49</v>
      </c>
      <c r="C36" s="3" t="s">
        <v>38</v>
      </c>
      <c r="D36" s="3">
        <v>1002</v>
      </c>
      <c r="E36" s="3" t="s">
        <v>8</v>
      </c>
      <c r="F36" s="3">
        <v>0</v>
      </c>
    </row>
    <row r="37" spans="1:23" x14ac:dyDescent="0.3">
      <c r="A37" s="3">
        <v>1009</v>
      </c>
      <c r="B37" s="3" t="s">
        <v>50</v>
      </c>
      <c r="C37" s="3" t="s">
        <v>46</v>
      </c>
      <c r="D37" s="3">
        <v>1003</v>
      </c>
      <c r="E37" s="3" t="s">
        <v>8</v>
      </c>
      <c r="F37" s="3">
        <v>0</v>
      </c>
    </row>
    <row r="38" spans="1:23" x14ac:dyDescent="0.3">
      <c r="A38" s="3">
        <v>2001</v>
      </c>
      <c r="B38" s="3" t="s">
        <v>51</v>
      </c>
      <c r="C38" s="3" t="s">
        <v>51</v>
      </c>
      <c r="D38" s="3">
        <v>2001</v>
      </c>
      <c r="E38" s="3" t="s">
        <v>8</v>
      </c>
      <c r="F38" s="3">
        <v>0</v>
      </c>
    </row>
    <row r="39" spans="1:23" x14ac:dyDescent="0.3">
      <c r="A39" s="3">
        <v>2002</v>
      </c>
      <c r="B39" s="3" t="s">
        <v>52</v>
      </c>
      <c r="C39" s="3" t="s">
        <v>51</v>
      </c>
      <c r="D39" s="3">
        <v>2001</v>
      </c>
      <c r="E39" s="3" t="s">
        <v>8</v>
      </c>
      <c r="F39" s="3">
        <v>0</v>
      </c>
    </row>
    <row r="40" spans="1:23" x14ac:dyDescent="0.3">
      <c r="A40" s="3">
        <v>2003</v>
      </c>
      <c r="B40" s="3" t="s">
        <v>53</v>
      </c>
      <c r="C40" s="3" t="s">
        <v>51</v>
      </c>
      <c r="D40" s="3">
        <v>2001</v>
      </c>
      <c r="E40" s="3" t="s">
        <v>8</v>
      </c>
      <c r="F40" s="3">
        <v>0</v>
      </c>
    </row>
    <row r="41" spans="1:23" x14ac:dyDescent="0.3">
      <c r="A41" s="3">
        <v>2004</v>
      </c>
      <c r="B41" s="3" t="s">
        <v>54</v>
      </c>
      <c r="C41" s="3" t="s">
        <v>51</v>
      </c>
      <c r="D41" s="3">
        <v>2001</v>
      </c>
      <c r="E41" s="3" t="s">
        <v>8</v>
      </c>
      <c r="F41" s="3">
        <v>0</v>
      </c>
    </row>
    <row r="42" spans="1:23" x14ac:dyDescent="0.3">
      <c r="A42" s="3">
        <v>2101</v>
      </c>
      <c r="B42" s="3" t="s">
        <v>55</v>
      </c>
      <c r="C42" s="3" t="s">
        <v>51</v>
      </c>
      <c r="D42" s="3">
        <v>2001</v>
      </c>
      <c r="E42" s="3" t="s">
        <v>8</v>
      </c>
      <c r="F42" s="3">
        <v>0</v>
      </c>
    </row>
    <row r="43" spans="1:23" x14ac:dyDescent="0.3">
      <c r="A43" s="3">
        <v>3001</v>
      </c>
      <c r="B43" s="3" t="s">
        <v>56</v>
      </c>
      <c r="C43" s="3" t="s">
        <v>56</v>
      </c>
      <c r="D43" s="3">
        <v>3001</v>
      </c>
      <c r="E43" s="3" t="s">
        <v>8</v>
      </c>
      <c r="F43" s="3">
        <v>0</v>
      </c>
    </row>
    <row r="44" spans="1:23" x14ac:dyDescent="0.3">
      <c r="A44" s="3">
        <v>3002</v>
      </c>
      <c r="B44" s="3" t="s">
        <v>57</v>
      </c>
      <c r="C44" s="3" t="s">
        <v>56</v>
      </c>
      <c r="D44" s="3">
        <v>3001</v>
      </c>
      <c r="E44" s="3" t="s">
        <v>8</v>
      </c>
      <c r="F44" s="3">
        <v>0</v>
      </c>
    </row>
    <row r="45" spans="1:23" x14ac:dyDescent="0.3">
      <c r="A45" s="3">
        <v>3100</v>
      </c>
      <c r="B45" s="3" t="s">
        <v>83</v>
      </c>
      <c r="C45" s="3" t="s">
        <v>56</v>
      </c>
      <c r="D45" s="3">
        <v>3001</v>
      </c>
      <c r="E45" s="3" t="s">
        <v>8</v>
      </c>
      <c r="F45" s="3">
        <v>0</v>
      </c>
      <c r="V45">
        <v>8</v>
      </c>
      <c r="W45">
        <f>V45*2</f>
        <v>16</v>
      </c>
    </row>
    <row r="46" spans="1:23" x14ac:dyDescent="0.3">
      <c r="A46" s="3">
        <v>3101</v>
      </c>
      <c r="B46" s="3" t="s">
        <v>40</v>
      </c>
      <c r="C46" s="3" t="s">
        <v>41</v>
      </c>
      <c r="D46" s="3">
        <v>3001</v>
      </c>
      <c r="E46" s="3" t="s">
        <v>8</v>
      </c>
      <c r="F46" s="3">
        <v>5</v>
      </c>
      <c r="G46" s="4" t="s">
        <v>80</v>
      </c>
      <c r="H46" s="5">
        <f>$V$45</f>
        <v>8</v>
      </c>
    </row>
    <row r="47" spans="1:23" x14ac:dyDescent="0.3">
      <c r="A47" s="3">
        <v>3102</v>
      </c>
      <c r="B47" s="3" t="s">
        <v>42</v>
      </c>
      <c r="C47" s="3" t="s">
        <v>41</v>
      </c>
      <c r="D47" s="3">
        <v>3001</v>
      </c>
      <c r="E47" s="3" t="s">
        <v>8</v>
      </c>
      <c r="F47" s="3">
        <v>5</v>
      </c>
      <c r="G47" s="4" t="s">
        <v>80</v>
      </c>
      <c r="H47" s="5">
        <f>$V$45</f>
        <v>8</v>
      </c>
      <c r="I47" s="4" t="s">
        <v>79</v>
      </c>
      <c r="J47" s="5">
        <f>$V$45</f>
        <v>8</v>
      </c>
    </row>
    <row r="48" spans="1:23" x14ac:dyDescent="0.3">
      <c r="A48" s="3">
        <v>3103</v>
      </c>
      <c r="B48" s="3" t="s">
        <v>43</v>
      </c>
      <c r="C48" s="3" t="s">
        <v>41</v>
      </c>
      <c r="D48" s="3">
        <v>3001</v>
      </c>
      <c r="E48" s="3" t="s">
        <v>8</v>
      </c>
      <c r="F48" s="3">
        <v>5</v>
      </c>
      <c r="G48" s="4" t="s">
        <v>79</v>
      </c>
      <c r="H48" s="5">
        <f>$W$45</f>
        <v>16</v>
      </c>
    </row>
    <row r="49" spans="1:20" x14ac:dyDescent="0.3">
      <c r="A49" s="3">
        <v>3104</v>
      </c>
      <c r="B49" s="3" t="s">
        <v>44</v>
      </c>
      <c r="C49" s="3" t="s">
        <v>41</v>
      </c>
      <c r="D49" s="3">
        <v>3001</v>
      </c>
      <c r="E49" s="3" t="s">
        <v>8</v>
      </c>
      <c r="F49" s="3">
        <v>5</v>
      </c>
      <c r="G49" s="4" t="s">
        <v>79</v>
      </c>
      <c r="H49" s="5">
        <f>$V$45</f>
        <v>8</v>
      </c>
      <c r="I49" s="4" t="s">
        <v>81</v>
      </c>
      <c r="J49" s="5">
        <f>$V$45</f>
        <v>8</v>
      </c>
    </row>
    <row r="50" spans="1:20" x14ac:dyDescent="0.3">
      <c r="A50" s="3">
        <v>3105</v>
      </c>
      <c r="B50" s="3" t="s">
        <v>45</v>
      </c>
      <c r="C50" s="3" t="s">
        <v>41</v>
      </c>
      <c r="D50" s="3">
        <v>3001</v>
      </c>
      <c r="E50" s="3" t="s">
        <v>8</v>
      </c>
      <c r="F50" s="3">
        <v>5</v>
      </c>
      <c r="G50" s="4" t="s">
        <v>81</v>
      </c>
      <c r="H50" s="5">
        <f>$W$45</f>
        <v>16</v>
      </c>
    </row>
    <row r="51" spans="1:20" x14ac:dyDescent="0.3">
      <c r="A51" s="3">
        <v>3106</v>
      </c>
      <c r="B51" s="3" t="s">
        <v>58</v>
      </c>
      <c r="C51" s="3" t="s">
        <v>41</v>
      </c>
      <c r="D51" s="3">
        <v>3001</v>
      </c>
      <c r="E51" s="3" t="s">
        <v>8</v>
      </c>
      <c r="F51" s="3">
        <v>5</v>
      </c>
      <c r="G51" s="4" t="s">
        <v>81</v>
      </c>
      <c r="H51" s="5">
        <f>$V$45</f>
        <v>8</v>
      </c>
      <c r="I51" s="4" t="s">
        <v>72</v>
      </c>
      <c r="J51" s="5">
        <f>$V$45</f>
        <v>8</v>
      </c>
    </row>
    <row r="52" spans="1:20" x14ac:dyDescent="0.3">
      <c r="A52" s="3">
        <v>3107</v>
      </c>
      <c r="B52" s="3" t="s">
        <v>59</v>
      </c>
      <c r="C52" s="3" t="s">
        <v>41</v>
      </c>
      <c r="D52" s="3">
        <v>3001</v>
      </c>
      <c r="E52" s="3" t="s">
        <v>8</v>
      </c>
      <c r="F52" s="3">
        <v>5</v>
      </c>
      <c r="G52" s="4" t="s">
        <v>72</v>
      </c>
      <c r="H52" s="5">
        <f>$V$45</f>
        <v>8</v>
      </c>
      <c r="I52" s="4" t="s">
        <v>82</v>
      </c>
      <c r="J52" s="5">
        <f>$V$45</f>
        <v>8</v>
      </c>
    </row>
    <row r="53" spans="1:20" x14ac:dyDescent="0.3">
      <c r="A53" s="3">
        <v>3108</v>
      </c>
      <c r="B53" s="3" t="s">
        <v>60</v>
      </c>
      <c r="C53" s="3" t="s">
        <v>41</v>
      </c>
      <c r="D53" s="3">
        <v>3001</v>
      </c>
      <c r="E53" s="3" t="s">
        <v>8</v>
      </c>
      <c r="F53" s="3">
        <v>5</v>
      </c>
      <c r="G53" s="4" t="s">
        <v>82</v>
      </c>
      <c r="H53" s="5">
        <f>$W$45</f>
        <v>16</v>
      </c>
    </row>
    <row r="54" spans="1:20" x14ac:dyDescent="0.3">
      <c r="A54" s="3">
        <v>3200</v>
      </c>
      <c r="B54" s="3" t="s">
        <v>92</v>
      </c>
      <c r="C54" s="3" t="s">
        <v>41</v>
      </c>
      <c r="D54" s="3">
        <v>3001</v>
      </c>
      <c r="E54" s="3" t="s">
        <v>8</v>
      </c>
      <c r="F54" s="3">
        <v>5</v>
      </c>
    </row>
    <row r="55" spans="1:20" x14ac:dyDescent="0.3">
      <c r="A55" s="3">
        <v>3201</v>
      </c>
      <c r="B55" s="3" t="s">
        <v>84</v>
      </c>
      <c r="C55" s="3" t="s">
        <v>41</v>
      </c>
      <c r="D55" s="3">
        <v>3001</v>
      </c>
      <c r="E55" s="3" t="s">
        <v>8</v>
      </c>
      <c r="F55" s="3">
        <v>5</v>
      </c>
      <c r="G55" s="4">
        <v>11</v>
      </c>
      <c r="H55" s="5">
        <f>$V$45</f>
        <v>8</v>
      </c>
    </row>
    <row r="56" spans="1:20" x14ac:dyDescent="0.3">
      <c r="A56" s="3">
        <v>3202</v>
      </c>
      <c r="B56" s="3" t="s">
        <v>85</v>
      </c>
      <c r="C56" s="3" t="s">
        <v>41</v>
      </c>
      <c r="D56" s="3">
        <v>3001</v>
      </c>
      <c r="E56" s="3" t="s">
        <v>8</v>
      </c>
      <c r="F56" s="3">
        <v>5</v>
      </c>
      <c r="G56" s="4">
        <v>11</v>
      </c>
      <c r="H56" s="5">
        <f>$V$45</f>
        <v>8</v>
      </c>
      <c r="I56" s="4">
        <v>12</v>
      </c>
      <c r="J56" s="5">
        <f>$V$45</f>
        <v>8</v>
      </c>
      <c r="R56" s="1"/>
      <c r="S56" s="1"/>
      <c r="T56" s="2"/>
    </row>
    <row r="57" spans="1:20" x14ac:dyDescent="0.3">
      <c r="A57" s="3">
        <v>3203</v>
      </c>
      <c r="B57" s="3" t="s">
        <v>86</v>
      </c>
      <c r="C57" s="3" t="s">
        <v>41</v>
      </c>
      <c r="D57" s="3">
        <v>3001</v>
      </c>
      <c r="E57" s="3" t="s">
        <v>8</v>
      </c>
      <c r="F57" s="3">
        <v>5</v>
      </c>
      <c r="G57" s="4">
        <v>12</v>
      </c>
      <c r="H57" s="5">
        <f>$W$45</f>
        <v>16</v>
      </c>
      <c r="R57" s="1"/>
      <c r="S57" s="1"/>
      <c r="T57" s="2"/>
    </row>
    <row r="58" spans="1:20" x14ac:dyDescent="0.3">
      <c r="A58" s="3">
        <v>3204</v>
      </c>
      <c r="B58" s="3" t="s">
        <v>87</v>
      </c>
      <c r="C58" s="3" t="s">
        <v>41</v>
      </c>
      <c r="D58" s="3">
        <v>3001</v>
      </c>
      <c r="E58" s="3" t="s">
        <v>8</v>
      </c>
      <c r="F58" s="3">
        <v>5</v>
      </c>
      <c r="G58" s="4">
        <v>12</v>
      </c>
      <c r="H58" s="5">
        <f>$V$45</f>
        <v>8</v>
      </c>
      <c r="I58" s="4">
        <v>13</v>
      </c>
      <c r="J58" s="5">
        <f>$V$45</f>
        <v>8</v>
      </c>
      <c r="R58" s="1"/>
      <c r="S58" s="1"/>
      <c r="T58" s="2"/>
    </row>
    <row r="59" spans="1:20" x14ac:dyDescent="0.3">
      <c r="A59" s="3">
        <v>3205</v>
      </c>
      <c r="B59" s="3" t="s">
        <v>88</v>
      </c>
      <c r="C59" s="3" t="s">
        <v>41</v>
      </c>
      <c r="D59" s="3">
        <v>3001</v>
      </c>
      <c r="E59" s="3" t="s">
        <v>8</v>
      </c>
      <c r="F59" s="3">
        <v>5</v>
      </c>
      <c r="G59" s="4">
        <v>14</v>
      </c>
      <c r="H59" s="5">
        <f>$W$45</f>
        <v>16</v>
      </c>
      <c r="R59" s="1"/>
      <c r="S59" s="1"/>
      <c r="T59" s="2"/>
    </row>
    <row r="60" spans="1:20" x14ac:dyDescent="0.3">
      <c r="A60" s="3">
        <v>3206</v>
      </c>
      <c r="B60" s="3" t="s">
        <v>89</v>
      </c>
      <c r="C60" s="3" t="s">
        <v>41</v>
      </c>
      <c r="D60" s="3">
        <v>3001</v>
      </c>
      <c r="E60" s="3" t="s">
        <v>8</v>
      </c>
      <c r="F60" s="3">
        <v>5</v>
      </c>
      <c r="G60" s="4">
        <v>14</v>
      </c>
      <c r="H60" s="5">
        <f>$V$45</f>
        <v>8</v>
      </c>
      <c r="I60" s="4">
        <v>15</v>
      </c>
      <c r="J60" s="5">
        <f>$V$45</f>
        <v>8</v>
      </c>
      <c r="R60" s="1"/>
      <c r="S60" s="1"/>
      <c r="T60" s="2"/>
    </row>
    <row r="61" spans="1:20" x14ac:dyDescent="0.3">
      <c r="A61" s="3">
        <v>3207</v>
      </c>
      <c r="B61" s="3" t="s">
        <v>90</v>
      </c>
      <c r="C61" s="3" t="s">
        <v>41</v>
      </c>
      <c r="D61" s="3">
        <v>3001</v>
      </c>
      <c r="E61" s="3" t="s">
        <v>8</v>
      </c>
      <c r="F61" s="3">
        <v>5</v>
      </c>
      <c r="G61" s="4">
        <v>15</v>
      </c>
      <c r="H61" s="5">
        <f>$V$45</f>
        <v>8</v>
      </c>
      <c r="I61" s="4">
        <v>16</v>
      </c>
      <c r="J61" s="5">
        <f>$V$45</f>
        <v>8</v>
      </c>
      <c r="R61" s="1"/>
      <c r="S61" s="1"/>
      <c r="T61" s="2"/>
    </row>
    <row r="62" spans="1:20" x14ac:dyDescent="0.3">
      <c r="A62" s="3">
        <v>3208</v>
      </c>
      <c r="B62" s="3" t="s">
        <v>91</v>
      </c>
      <c r="C62" s="3" t="s">
        <v>41</v>
      </c>
      <c r="D62" s="3">
        <v>3001</v>
      </c>
      <c r="E62" s="3" t="s">
        <v>8</v>
      </c>
      <c r="F62" s="3">
        <v>5</v>
      </c>
      <c r="G62" s="4">
        <v>16</v>
      </c>
      <c r="H62" s="5">
        <f>$W$45</f>
        <v>16</v>
      </c>
      <c r="R62" s="1"/>
      <c r="S62" s="1"/>
      <c r="T62" s="2"/>
    </row>
    <row r="63" spans="1:20" x14ac:dyDescent="0.3">
      <c r="R63" s="1"/>
      <c r="S63" s="1"/>
      <c r="T63" s="2"/>
    </row>
    <row r="64" spans="1:20" x14ac:dyDescent="0.3">
      <c r="R64" s="1"/>
      <c r="S64" s="1"/>
      <c r="T64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2023-10-22T08:47:05Z</dcterms:modified>
</cp:coreProperties>
</file>