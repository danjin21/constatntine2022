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Inflearn BackUp\20220618 Constantine_NEW\Client\Assets\Resources\Data\"/>
    </mc:Choice>
  </mc:AlternateContent>
  <xr:revisionPtr revIDLastSave="0" documentId="13_ncr:1_{4701EA00-4CA2-4686-8CB2-2B1DEF798DDE}" xr6:coauthVersionLast="47" xr6:coauthVersionMax="47" xr10:uidLastSave="{00000000-0000-0000-0000-000000000000}"/>
  <bookViews>
    <workbookView xWindow="-28920" yWindow="-120" windowWidth="29040" windowHeight="15840" xr2:uid="{D792CF9F-C76B-4E69-BBE5-436968C6605C}"/>
  </bookViews>
  <sheets>
    <sheet name="DataCreate" sheetId="3" r:id="rId1"/>
    <sheet name="LevelDesign" sheetId="5" r:id="rId2"/>
    <sheet name="Sheet4" sheetId="4" r:id="rId3"/>
    <sheet name="Sheet1" sheetId="1" r:id="rId4"/>
    <sheet name="Sheet2" sheetId="2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5" i="3" l="1"/>
  <c r="C55" i="3"/>
  <c r="E55" i="3"/>
  <c r="G55" i="3"/>
  <c r="P55" i="5"/>
  <c r="Q55" i="5"/>
  <c r="R55" i="5"/>
  <c r="S55" i="5"/>
  <c r="T55" i="5"/>
  <c r="E55" i="5"/>
  <c r="F55" i="5"/>
  <c r="G55" i="5"/>
  <c r="H55" i="5"/>
  <c r="C52" i="3"/>
  <c r="D52" i="3"/>
  <c r="E52" i="3"/>
  <c r="G52" i="3"/>
  <c r="C53" i="3"/>
  <c r="D53" i="3"/>
  <c r="E53" i="3"/>
  <c r="G53" i="3"/>
  <c r="C54" i="3"/>
  <c r="D54" i="3"/>
  <c r="E54" i="3"/>
  <c r="G54" i="3"/>
  <c r="Q52" i="5"/>
  <c r="R52" i="5"/>
  <c r="S52" i="5"/>
  <c r="T52" i="5"/>
  <c r="Q53" i="5"/>
  <c r="R53" i="5"/>
  <c r="S53" i="5"/>
  <c r="T53" i="5"/>
  <c r="Q54" i="5"/>
  <c r="R54" i="5"/>
  <c r="S54" i="5"/>
  <c r="T54" i="5"/>
  <c r="P54" i="5"/>
  <c r="P53" i="5"/>
  <c r="P52" i="5"/>
  <c r="E52" i="5"/>
  <c r="F52" i="5"/>
  <c r="G52" i="5"/>
  <c r="H52" i="5"/>
  <c r="E53" i="5"/>
  <c r="F53" i="5"/>
  <c r="G53" i="5"/>
  <c r="H53" i="5"/>
  <c r="E54" i="5"/>
  <c r="F54" i="5"/>
  <c r="G54" i="5"/>
  <c r="H54" i="5"/>
  <c r="C51" i="3"/>
  <c r="D51" i="3"/>
  <c r="E51" i="3"/>
  <c r="G51" i="3"/>
  <c r="Q51" i="5"/>
  <c r="R51" i="5"/>
  <c r="S51" i="5"/>
  <c r="T51" i="5"/>
  <c r="P51" i="5"/>
  <c r="H51" i="5"/>
  <c r="G51" i="5"/>
  <c r="F51" i="5"/>
  <c r="E51" i="5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G2" i="3"/>
  <c r="E2" i="3"/>
  <c r="D3" i="3"/>
  <c r="D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2" i="3"/>
  <c r="P3" i="5"/>
  <c r="Q3" i="5"/>
  <c r="R3" i="5"/>
  <c r="S3" i="5"/>
  <c r="T3" i="5"/>
  <c r="P4" i="5"/>
  <c r="Q4" i="5"/>
  <c r="D4" i="3" s="1"/>
  <c r="R4" i="5"/>
  <c r="S4" i="5"/>
  <c r="T4" i="5"/>
  <c r="P5" i="5"/>
  <c r="R5" i="5"/>
  <c r="S5" i="5"/>
  <c r="T5" i="5"/>
  <c r="P6" i="5"/>
  <c r="R6" i="5"/>
  <c r="S6" i="5"/>
  <c r="T6" i="5"/>
  <c r="P7" i="5"/>
  <c r="Q7" i="5"/>
  <c r="D7" i="3" s="1"/>
  <c r="R7" i="5"/>
  <c r="S7" i="5"/>
  <c r="T7" i="5"/>
  <c r="P8" i="5"/>
  <c r="R8" i="5"/>
  <c r="S8" i="5"/>
  <c r="T8" i="5"/>
  <c r="P9" i="5"/>
  <c r="R9" i="5"/>
  <c r="S9" i="5"/>
  <c r="T9" i="5"/>
  <c r="P10" i="5"/>
  <c r="R10" i="5"/>
  <c r="S10" i="5"/>
  <c r="T10" i="5"/>
  <c r="P11" i="5"/>
  <c r="R11" i="5"/>
  <c r="S11" i="5"/>
  <c r="T11" i="5"/>
  <c r="P12" i="5"/>
  <c r="Q12" i="5"/>
  <c r="D12" i="3" s="1"/>
  <c r="R12" i="5"/>
  <c r="S12" i="5"/>
  <c r="T12" i="5"/>
  <c r="P13" i="5"/>
  <c r="Q13" i="5"/>
  <c r="D13" i="3" s="1"/>
  <c r="R13" i="5"/>
  <c r="S13" i="5"/>
  <c r="T13" i="5"/>
  <c r="P14" i="5"/>
  <c r="R14" i="5"/>
  <c r="S14" i="5"/>
  <c r="T14" i="5"/>
  <c r="P15" i="5"/>
  <c r="R15" i="5"/>
  <c r="S15" i="5"/>
  <c r="T15" i="5"/>
  <c r="P16" i="5"/>
  <c r="Q16" i="5"/>
  <c r="D16" i="3" s="1"/>
  <c r="R16" i="5"/>
  <c r="S16" i="5"/>
  <c r="T16" i="5"/>
  <c r="P17" i="5"/>
  <c r="R17" i="5"/>
  <c r="S17" i="5"/>
  <c r="T17" i="5"/>
  <c r="P18" i="5"/>
  <c r="R18" i="5"/>
  <c r="S18" i="5"/>
  <c r="T18" i="5"/>
  <c r="P19" i="5"/>
  <c r="Q19" i="5"/>
  <c r="D19" i="3" s="1"/>
  <c r="R19" i="5"/>
  <c r="S19" i="5"/>
  <c r="T19" i="5"/>
  <c r="P20" i="5"/>
  <c r="R20" i="5"/>
  <c r="S20" i="5"/>
  <c r="T20" i="5"/>
  <c r="P21" i="5"/>
  <c r="R21" i="5"/>
  <c r="S21" i="5"/>
  <c r="T21" i="5"/>
  <c r="P22" i="5"/>
  <c r="R22" i="5"/>
  <c r="S22" i="5"/>
  <c r="T22" i="5"/>
  <c r="P23" i="5"/>
  <c r="Q23" i="5"/>
  <c r="D23" i="3" s="1"/>
  <c r="R23" i="5"/>
  <c r="S23" i="5"/>
  <c r="T23" i="5"/>
  <c r="P24" i="5"/>
  <c r="Q24" i="5"/>
  <c r="D24" i="3" s="1"/>
  <c r="R24" i="5"/>
  <c r="S24" i="5"/>
  <c r="T24" i="5"/>
  <c r="P25" i="5"/>
  <c r="Q25" i="5"/>
  <c r="D25" i="3" s="1"/>
  <c r="R25" i="5"/>
  <c r="S25" i="5"/>
  <c r="T25" i="5"/>
  <c r="P26" i="5"/>
  <c r="R26" i="5"/>
  <c r="S26" i="5"/>
  <c r="T26" i="5"/>
  <c r="P27" i="5"/>
  <c r="R27" i="5"/>
  <c r="S27" i="5"/>
  <c r="T27" i="5"/>
  <c r="P28" i="5"/>
  <c r="Q28" i="5"/>
  <c r="D28" i="3" s="1"/>
  <c r="R28" i="5"/>
  <c r="S28" i="5"/>
  <c r="T28" i="5"/>
  <c r="P29" i="5"/>
  <c r="R29" i="5"/>
  <c r="S29" i="5"/>
  <c r="T29" i="5"/>
  <c r="P30" i="5"/>
  <c r="R30" i="5"/>
  <c r="S30" i="5"/>
  <c r="T30" i="5"/>
  <c r="P31" i="5"/>
  <c r="Q31" i="5"/>
  <c r="D31" i="3" s="1"/>
  <c r="R31" i="5"/>
  <c r="S31" i="5"/>
  <c r="T31" i="5"/>
  <c r="P32" i="5"/>
  <c r="R32" i="5"/>
  <c r="S32" i="5"/>
  <c r="T32" i="5"/>
  <c r="P33" i="5"/>
  <c r="R33" i="5"/>
  <c r="S33" i="5"/>
  <c r="T33" i="5"/>
  <c r="P34" i="5"/>
  <c r="R34" i="5"/>
  <c r="S34" i="5"/>
  <c r="T34" i="5"/>
  <c r="P35" i="5"/>
  <c r="Q35" i="5"/>
  <c r="D35" i="3" s="1"/>
  <c r="R35" i="5"/>
  <c r="S35" i="5"/>
  <c r="T35" i="5"/>
  <c r="P36" i="5"/>
  <c r="Q36" i="5"/>
  <c r="D36" i="3" s="1"/>
  <c r="R36" i="5"/>
  <c r="S36" i="5"/>
  <c r="T36" i="5"/>
  <c r="P37" i="5"/>
  <c r="Q37" i="5"/>
  <c r="D37" i="3" s="1"/>
  <c r="R37" i="5"/>
  <c r="S37" i="5"/>
  <c r="T37" i="5"/>
  <c r="P38" i="5"/>
  <c r="R38" i="5"/>
  <c r="S38" i="5"/>
  <c r="T38" i="5"/>
  <c r="P39" i="5"/>
  <c r="R39" i="5"/>
  <c r="S39" i="5"/>
  <c r="T39" i="5"/>
  <c r="P40" i="5"/>
  <c r="Q40" i="5"/>
  <c r="D40" i="3" s="1"/>
  <c r="R40" i="5"/>
  <c r="S40" i="5"/>
  <c r="T40" i="5"/>
  <c r="P41" i="5"/>
  <c r="R41" i="5"/>
  <c r="S41" i="5"/>
  <c r="T41" i="5"/>
  <c r="P42" i="5"/>
  <c r="R42" i="5"/>
  <c r="S42" i="5"/>
  <c r="T42" i="5"/>
  <c r="P43" i="5"/>
  <c r="Q43" i="5"/>
  <c r="D43" i="3" s="1"/>
  <c r="R43" i="5"/>
  <c r="S43" i="5"/>
  <c r="T43" i="5"/>
  <c r="P44" i="5"/>
  <c r="R44" i="5"/>
  <c r="S44" i="5"/>
  <c r="T44" i="5"/>
  <c r="P45" i="5"/>
  <c r="R45" i="5"/>
  <c r="S45" i="5"/>
  <c r="T45" i="5"/>
  <c r="P46" i="5"/>
  <c r="R46" i="5"/>
  <c r="S46" i="5"/>
  <c r="T46" i="5"/>
  <c r="P47" i="5"/>
  <c r="Q47" i="5"/>
  <c r="D47" i="3" s="1"/>
  <c r="R47" i="5"/>
  <c r="S47" i="5"/>
  <c r="T47" i="5"/>
  <c r="P48" i="5"/>
  <c r="Q48" i="5"/>
  <c r="D48" i="3" s="1"/>
  <c r="R48" i="5"/>
  <c r="S48" i="5"/>
  <c r="T48" i="5"/>
  <c r="P49" i="5"/>
  <c r="Q49" i="5"/>
  <c r="D49" i="3" s="1"/>
  <c r="R49" i="5"/>
  <c r="S49" i="5"/>
  <c r="T49" i="5"/>
  <c r="P50" i="5"/>
  <c r="R50" i="5"/>
  <c r="S50" i="5"/>
  <c r="T50" i="5"/>
  <c r="T2" i="5"/>
  <c r="S2" i="5"/>
  <c r="R2" i="5"/>
  <c r="Q2" i="5"/>
  <c r="P2" i="5"/>
  <c r="H50" i="5"/>
  <c r="G50" i="5"/>
  <c r="F50" i="5"/>
  <c r="E50" i="5"/>
  <c r="Q50" i="5" s="1"/>
  <c r="D50" i="3" s="1"/>
  <c r="H49" i="5"/>
  <c r="G49" i="5"/>
  <c r="F49" i="5"/>
  <c r="E49" i="5"/>
  <c r="H48" i="5"/>
  <c r="G48" i="5"/>
  <c r="F48" i="5"/>
  <c r="E48" i="5"/>
  <c r="H47" i="5"/>
  <c r="G47" i="5"/>
  <c r="F47" i="5"/>
  <c r="E47" i="5"/>
  <c r="H46" i="5"/>
  <c r="G46" i="5"/>
  <c r="F46" i="5"/>
  <c r="E46" i="5"/>
  <c r="Q46" i="5" s="1"/>
  <c r="D46" i="3" s="1"/>
  <c r="H45" i="5"/>
  <c r="G45" i="5"/>
  <c r="F45" i="5"/>
  <c r="E45" i="5"/>
  <c r="Q45" i="5" s="1"/>
  <c r="D45" i="3" s="1"/>
  <c r="H44" i="5"/>
  <c r="G44" i="5"/>
  <c r="F44" i="5"/>
  <c r="E44" i="5"/>
  <c r="Q44" i="5" s="1"/>
  <c r="D44" i="3" s="1"/>
  <c r="H43" i="5"/>
  <c r="G43" i="5"/>
  <c r="F43" i="5"/>
  <c r="E43" i="5"/>
  <c r="H42" i="5"/>
  <c r="G42" i="5"/>
  <c r="F42" i="5"/>
  <c r="E42" i="5"/>
  <c r="Q42" i="5" s="1"/>
  <c r="D42" i="3" s="1"/>
  <c r="H41" i="5"/>
  <c r="G41" i="5"/>
  <c r="F41" i="5"/>
  <c r="E41" i="5"/>
  <c r="Q41" i="5" s="1"/>
  <c r="D41" i="3" s="1"/>
  <c r="H40" i="5"/>
  <c r="G40" i="5"/>
  <c r="F40" i="5"/>
  <c r="E40" i="5"/>
  <c r="H39" i="5"/>
  <c r="G39" i="5"/>
  <c r="F39" i="5"/>
  <c r="E39" i="5"/>
  <c r="Q39" i="5" s="1"/>
  <c r="D39" i="3" s="1"/>
  <c r="H38" i="5"/>
  <c r="G38" i="5"/>
  <c r="F38" i="5"/>
  <c r="E38" i="5"/>
  <c r="Q38" i="5" s="1"/>
  <c r="D38" i="3" s="1"/>
  <c r="H37" i="5"/>
  <c r="G37" i="5"/>
  <c r="F37" i="5"/>
  <c r="E37" i="5"/>
  <c r="H36" i="5"/>
  <c r="G36" i="5"/>
  <c r="F36" i="5"/>
  <c r="E36" i="5"/>
  <c r="H35" i="5"/>
  <c r="G35" i="5"/>
  <c r="F35" i="5"/>
  <c r="E35" i="5"/>
  <c r="H34" i="5"/>
  <c r="G34" i="5"/>
  <c r="F34" i="5"/>
  <c r="E34" i="5"/>
  <c r="Q34" i="5" s="1"/>
  <c r="D34" i="3" s="1"/>
  <c r="H33" i="5"/>
  <c r="G33" i="5"/>
  <c r="F33" i="5"/>
  <c r="E33" i="5"/>
  <c r="Q33" i="5" s="1"/>
  <c r="D33" i="3" s="1"/>
  <c r="H32" i="5"/>
  <c r="G32" i="5"/>
  <c r="F32" i="5"/>
  <c r="E32" i="5"/>
  <c r="Q32" i="5" s="1"/>
  <c r="D32" i="3" s="1"/>
  <c r="H31" i="5"/>
  <c r="G31" i="5"/>
  <c r="F31" i="5"/>
  <c r="E31" i="5"/>
  <c r="H30" i="5"/>
  <c r="G30" i="5"/>
  <c r="F30" i="5"/>
  <c r="E30" i="5"/>
  <c r="Q30" i="5" s="1"/>
  <c r="D30" i="3" s="1"/>
  <c r="H29" i="5"/>
  <c r="G29" i="5"/>
  <c r="F29" i="5"/>
  <c r="E29" i="5"/>
  <c r="Q29" i="5" s="1"/>
  <c r="D29" i="3" s="1"/>
  <c r="H28" i="5"/>
  <c r="G28" i="5"/>
  <c r="F28" i="5"/>
  <c r="E28" i="5"/>
  <c r="H27" i="5"/>
  <c r="G27" i="5"/>
  <c r="F27" i="5"/>
  <c r="E27" i="5"/>
  <c r="Q27" i="5" s="1"/>
  <c r="D27" i="3" s="1"/>
  <c r="H26" i="5"/>
  <c r="G26" i="5"/>
  <c r="F26" i="5"/>
  <c r="E26" i="5"/>
  <c r="Q26" i="5" s="1"/>
  <c r="D26" i="3" s="1"/>
  <c r="H25" i="5"/>
  <c r="G25" i="5"/>
  <c r="F25" i="5"/>
  <c r="E25" i="5"/>
  <c r="H24" i="5"/>
  <c r="G24" i="5"/>
  <c r="F24" i="5"/>
  <c r="E24" i="5"/>
  <c r="H23" i="5"/>
  <c r="G23" i="5"/>
  <c r="F23" i="5"/>
  <c r="E23" i="5"/>
  <c r="H22" i="5"/>
  <c r="G22" i="5"/>
  <c r="F22" i="5"/>
  <c r="E22" i="5"/>
  <c r="Q22" i="5" s="1"/>
  <c r="D22" i="3" s="1"/>
  <c r="H21" i="5"/>
  <c r="G21" i="5"/>
  <c r="F21" i="5"/>
  <c r="E21" i="5"/>
  <c r="Q21" i="5" s="1"/>
  <c r="D21" i="3" s="1"/>
  <c r="H20" i="5"/>
  <c r="G20" i="5"/>
  <c r="F20" i="5"/>
  <c r="E20" i="5"/>
  <c r="Q20" i="5" s="1"/>
  <c r="D20" i="3" s="1"/>
  <c r="H19" i="5"/>
  <c r="G19" i="5"/>
  <c r="F19" i="5"/>
  <c r="E19" i="5"/>
  <c r="H18" i="5"/>
  <c r="G18" i="5"/>
  <c r="F18" i="5"/>
  <c r="E18" i="5"/>
  <c r="Q18" i="5" s="1"/>
  <c r="D18" i="3" s="1"/>
  <c r="H17" i="5"/>
  <c r="G17" i="5"/>
  <c r="F17" i="5"/>
  <c r="E17" i="5"/>
  <c r="Q17" i="5" s="1"/>
  <c r="D17" i="3" s="1"/>
  <c r="H16" i="5"/>
  <c r="G16" i="5"/>
  <c r="F16" i="5"/>
  <c r="E16" i="5"/>
  <c r="H15" i="5"/>
  <c r="G15" i="5"/>
  <c r="F15" i="5"/>
  <c r="E15" i="5"/>
  <c r="Q15" i="5" s="1"/>
  <c r="D15" i="3" s="1"/>
  <c r="H14" i="5"/>
  <c r="G14" i="5"/>
  <c r="F14" i="5"/>
  <c r="E14" i="5"/>
  <c r="Q14" i="5" s="1"/>
  <c r="D14" i="3" s="1"/>
  <c r="H13" i="5"/>
  <c r="G13" i="5"/>
  <c r="F13" i="5"/>
  <c r="E13" i="5"/>
  <c r="H12" i="5"/>
  <c r="G12" i="5"/>
  <c r="F12" i="5"/>
  <c r="E12" i="5"/>
  <c r="H11" i="5"/>
  <c r="G11" i="5"/>
  <c r="F11" i="5"/>
  <c r="E11" i="5"/>
  <c r="Q11" i="5" s="1"/>
  <c r="D11" i="3" s="1"/>
  <c r="H10" i="5"/>
  <c r="G10" i="5"/>
  <c r="F10" i="5"/>
  <c r="E10" i="5"/>
  <c r="Q10" i="5" s="1"/>
  <c r="D10" i="3" s="1"/>
  <c r="H9" i="5"/>
  <c r="G9" i="5"/>
  <c r="F9" i="5"/>
  <c r="E9" i="5"/>
  <c r="Q9" i="5" s="1"/>
  <c r="D9" i="3" s="1"/>
  <c r="H8" i="5"/>
  <c r="G8" i="5"/>
  <c r="F8" i="5"/>
  <c r="E8" i="5"/>
  <c r="Q8" i="5" s="1"/>
  <c r="D8" i="3" s="1"/>
  <c r="H7" i="5"/>
  <c r="G7" i="5"/>
  <c r="F7" i="5"/>
  <c r="E7" i="5"/>
  <c r="H6" i="5"/>
  <c r="G6" i="5"/>
  <c r="F6" i="5"/>
  <c r="E6" i="5"/>
  <c r="Q6" i="5" s="1"/>
  <c r="D6" i="3" s="1"/>
  <c r="H5" i="5"/>
  <c r="G5" i="5"/>
  <c r="F5" i="5"/>
  <c r="E5" i="5"/>
  <c r="Q5" i="5" s="1"/>
  <c r="D5" i="3" s="1"/>
  <c r="H4" i="5"/>
  <c r="G4" i="5"/>
  <c r="F4" i="5"/>
  <c r="E4" i="5"/>
  <c r="H3" i="5"/>
  <c r="G3" i="5"/>
  <c r="F3" i="5"/>
  <c r="E3" i="5"/>
  <c r="H2" i="5"/>
  <c r="G2" i="5"/>
  <c r="F2" i="5"/>
  <c r="E2" i="5"/>
  <c r="AE5" i="1"/>
  <c r="AE6" i="1" s="1"/>
  <c r="AE7" i="1" s="1"/>
  <c r="AE8" i="1" s="1"/>
  <c r="AE9" i="1" s="1"/>
  <c r="AE10" i="1" s="1"/>
  <c r="AE11" i="1" s="1"/>
  <c r="AE12" i="1" s="1"/>
  <c r="I2" i="1"/>
  <c r="H2" i="1"/>
  <c r="E3" i="1"/>
  <c r="E4" i="1" s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D3" i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C3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  <c r="H3" i="1" l="1"/>
  <c r="C4" i="1"/>
  <c r="I3" i="1"/>
  <c r="I4" i="1" l="1"/>
  <c r="H4" i="1"/>
  <c r="C5" i="1"/>
  <c r="C6" i="1" l="1"/>
  <c r="I5" i="1"/>
  <c r="H5" i="1"/>
  <c r="C7" i="1" l="1"/>
  <c r="H6" i="1"/>
  <c r="I6" i="1"/>
  <c r="C8" i="1" l="1"/>
  <c r="I7" i="1"/>
  <c r="H7" i="1"/>
  <c r="C9" i="1" l="1"/>
  <c r="H8" i="1"/>
  <c r="I8" i="1"/>
  <c r="C10" i="1" l="1"/>
  <c r="H9" i="1"/>
  <c r="I9" i="1"/>
  <c r="C11" i="1" l="1"/>
  <c r="H10" i="1"/>
  <c r="I10" i="1"/>
  <c r="C12" i="1" l="1"/>
  <c r="I11" i="1"/>
  <c r="H11" i="1"/>
  <c r="C13" i="1" l="1"/>
  <c r="I12" i="1"/>
  <c r="H12" i="1"/>
  <c r="C14" i="1" l="1"/>
  <c r="I13" i="1"/>
  <c r="H13" i="1"/>
  <c r="I14" i="1" l="1"/>
  <c r="H14" i="1"/>
  <c r="C15" i="1"/>
  <c r="C16" i="1" l="1"/>
  <c r="I15" i="1"/>
  <c r="H15" i="1"/>
  <c r="C17" i="1" l="1"/>
  <c r="I16" i="1"/>
  <c r="H16" i="1"/>
  <c r="C18" i="1" l="1"/>
  <c r="I17" i="1"/>
  <c r="H17" i="1"/>
  <c r="C19" i="1" l="1"/>
  <c r="I18" i="1"/>
  <c r="H18" i="1"/>
  <c r="C20" i="1" l="1"/>
  <c r="H19" i="1"/>
  <c r="I19" i="1"/>
  <c r="C21" i="1" l="1"/>
  <c r="H20" i="1"/>
  <c r="I20" i="1"/>
  <c r="C22" i="1" l="1"/>
  <c r="H21" i="1"/>
  <c r="I21" i="1"/>
  <c r="C23" i="1" l="1"/>
  <c r="H22" i="1"/>
  <c r="I22" i="1"/>
  <c r="C24" i="1" l="1"/>
  <c r="I23" i="1"/>
  <c r="H23" i="1"/>
  <c r="C25" i="1" l="1"/>
  <c r="I24" i="1"/>
  <c r="H24" i="1"/>
  <c r="C26" i="1" l="1"/>
  <c r="I25" i="1"/>
  <c r="H25" i="1"/>
  <c r="C27" i="1" l="1"/>
  <c r="I26" i="1"/>
  <c r="H26" i="1"/>
  <c r="C28" i="1" l="1"/>
  <c r="H27" i="1"/>
  <c r="I27" i="1"/>
  <c r="C29" i="1" l="1"/>
  <c r="I28" i="1"/>
  <c r="H28" i="1"/>
  <c r="C30" i="1" l="1"/>
  <c r="I29" i="1"/>
  <c r="H29" i="1"/>
  <c r="C31" i="1" l="1"/>
  <c r="I30" i="1"/>
  <c r="H30" i="1"/>
  <c r="C32" i="1" l="1"/>
  <c r="H31" i="1"/>
  <c r="I31" i="1"/>
  <c r="C33" i="1" l="1"/>
  <c r="H32" i="1"/>
  <c r="I32" i="1"/>
  <c r="C34" i="1" l="1"/>
  <c r="H33" i="1"/>
  <c r="I33" i="1"/>
  <c r="C35" i="1" l="1"/>
  <c r="H34" i="1"/>
  <c r="I34" i="1"/>
  <c r="C36" i="1" l="1"/>
  <c r="I35" i="1"/>
  <c r="H35" i="1"/>
  <c r="C37" i="1" l="1"/>
  <c r="I36" i="1"/>
  <c r="H36" i="1"/>
  <c r="C38" i="1" l="1"/>
  <c r="I37" i="1"/>
  <c r="H37" i="1"/>
  <c r="C39" i="1" l="1"/>
  <c r="I38" i="1"/>
  <c r="H38" i="1"/>
  <c r="C40" i="1" l="1"/>
  <c r="H39" i="1"/>
  <c r="I39" i="1"/>
  <c r="C41" i="1" l="1"/>
  <c r="I40" i="1"/>
  <c r="H40" i="1"/>
  <c r="I41" i="1" l="1"/>
  <c r="H41" i="1"/>
  <c r="C42" i="1"/>
  <c r="C43" i="1" l="1"/>
  <c r="H42" i="1"/>
  <c r="I42" i="1"/>
  <c r="C44" i="1" l="1"/>
  <c r="I43" i="1"/>
  <c r="H43" i="1"/>
  <c r="C45" i="1" l="1"/>
  <c r="H44" i="1"/>
  <c r="I44" i="1"/>
  <c r="C46" i="1" l="1"/>
  <c r="H45" i="1"/>
  <c r="I45" i="1"/>
  <c r="C47" i="1" l="1"/>
  <c r="H46" i="1"/>
  <c r="I46" i="1"/>
  <c r="C48" i="1" l="1"/>
  <c r="I47" i="1"/>
  <c r="H47" i="1"/>
  <c r="C49" i="1" l="1"/>
  <c r="I48" i="1"/>
  <c r="H48" i="1"/>
  <c r="C50" i="1" l="1"/>
  <c r="I49" i="1"/>
  <c r="H49" i="1"/>
  <c r="C51" i="1" l="1"/>
  <c r="I50" i="1"/>
  <c r="H50" i="1"/>
  <c r="C52" i="1" l="1"/>
  <c r="I51" i="1"/>
  <c r="H51" i="1"/>
  <c r="H52" i="1" l="1"/>
  <c r="C53" i="1"/>
  <c r="I52" i="1"/>
  <c r="I53" i="1" l="1"/>
  <c r="C54" i="1"/>
  <c r="H53" i="1"/>
  <c r="H54" i="1" l="1"/>
  <c r="I54" i="1"/>
  <c r="C55" i="1"/>
  <c r="H55" i="1" l="1"/>
  <c r="I55" i="1"/>
  <c r="C56" i="1"/>
  <c r="I56" i="1" l="1"/>
  <c r="C57" i="1"/>
  <c r="H56" i="1"/>
  <c r="H57" i="1" l="1"/>
  <c r="I57" i="1"/>
  <c r="C58" i="1"/>
  <c r="C59" i="1" l="1"/>
  <c r="I58" i="1"/>
  <c r="H58" i="1"/>
  <c r="H59" i="1" l="1"/>
  <c r="I59" i="1"/>
  <c r="C60" i="1"/>
  <c r="C61" i="1" l="1"/>
  <c r="H60" i="1"/>
  <c r="I60" i="1"/>
  <c r="H61" i="1" l="1"/>
  <c r="C62" i="1"/>
  <c r="I61" i="1"/>
  <c r="H62" i="1" l="1"/>
  <c r="C63" i="1"/>
  <c r="I62" i="1"/>
  <c r="C64" i="1" l="1"/>
  <c r="I63" i="1"/>
  <c r="H63" i="1"/>
  <c r="C65" i="1" l="1"/>
  <c r="H64" i="1"/>
  <c r="I64" i="1"/>
  <c r="I65" i="1" l="1"/>
  <c r="C66" i="1"/>
  <c r="H65" i="1"/>
  <c r="C67" i="1" l="1"/>
  <c r="I66" i="1"/>
  <c r="H66" i="1"/>
  <c r="C68" i="1" l="1"/>
  <c r="H67" i="1"/>
  <c r="I67" i="1"/>
  <c r="H68" i="1" l="1"/>
  <c r="C69" i="1"/>
  <c r="I68" i="1"/>
  <c r="I69" i="1" l="1"/>
  <c r="C70" i="1"/>
  <c r="H69" i="1"/>
  <c r="H70" i="1" l="1"/>
  <c r="I70" i="1"/>
  <c r="C71" i="1"/>
  <c r="I71" i="1" l="1"/>
  <c r="C72" i="1"/>
  <c r="H71" i="1"/>
  <c r="H72" i="1" l="1"/>
  <c r="I72" i="1"/>
  <c r="C73" i="1"/>
  <c r="H73" i="1" l="1"/>
  <c r="I73" i="1"/>
</calcChain>
</file>

<file path=xl/sharedStrings.xml><?xml version="1.0" encoding="utf-8"?>
<sst xmlns="http://schemas.openxmlformats.org/spreadsheetml/2006/main" count="566" uniqueCount="359">
  <si>
    <t>얼룩말</t>
    <phoneticPr fontId="2" type="noConversion"/>
  </si>
  <si>
    <t>흑마</t>
    <phoneticPr fontId="2" type="noConversion"/>
  </si>
  <si>
    <t>백마</t>
    <phoneticPr fontId="2" type="noConversion"/>
  </si>
  <si>
    <t>호랑</t>
    <phoneticPr fontId="2" type="noConversion"/>
  </si>
  <si>
    <t>흑호랑</t>
    <phoneticPr fontId="2" type="noConversion"/>
  </si>
  <si>
    <t>백호랑</t>
    <phoneticPr fontId="2" type="noConversion"/>
  </si>
  <si>
    <t>갈호랑</t>
    <phoneticPr fontId="2" type="noConversion"/>
  </si>
  <si>
    <t>표범굴</t>
    <phoneticPr fontId="2" type="noConversion"/>
  </si>
  <si>
    <t>호랑이굴</t>
    <phoneticPr fontId="2" type="noConversion"/>
  </si>
  <si>
    <t>말굴</t>
    <phoneticPr fontId="2" type="noConversion"/>
  </si>
  <si>
    <t>코뿔소굴</t>
    <phoneticPr fontId="2" type="noConversion"/>
  </si>
  <si>
    <t>사자굴</t>
    <phoneticPr fontId="2" type="noConversion"/>
  </si>
  <si>
    <t>캥거루굴</t>
    <phoneticPr fontId="2" type="noConversion"/>
  </si>
  <si>
    <t>고릴라굴</t>
    <phoneticPr fontId="2" type="noConversion"/>
  </si>
  <si>
    <t>하마굴</t>
    <phoneticPr fontId="2" type="noConversion"/>
  </si>
  <si>
    <t>코끼리굴</t>
    <phoneticPr fontId="2" type="noConversion"/>
  </si>
  <si>
    <t>악어굴</t>
    <phoneticPr fontId="2" type="noConversion"/>
  </si>
  <si>
    <t>낙타굴</t>
    <phoneticPr fontId="2" type="noConversion"/>
  </si>
  <si>
    <t>소굴</t>
    <phoneticPr fontId="2" type="noConversion"/>
  </si>
  <si>
    <t>상어굴</t>
    <phoneticPr fontId="2" type="noConversion"/>
  </si>
  <si>
    <t>젖소</t>
    <phoneticPr fontId="2" type="noConversion"/>
  </si>
  <si>
    <t>뿔소</t>
    <phoneticPr fontId="2" type="noConversion"/>
  </si>
  <si>
    <t>들소굴</t>
    <phoneticPr fontId="2" type="noConversion"/>
  </si>
  <si>
    <t>돼지굴</t>
    <phoneticPr fontId="2" type="noConversion"/>
  </si>
  <si>
    <t>사슴굴</t>
    <phoneticPr fontId="2" type="noConversion"/>
  </si>
  <si>
    <t>곰굴</t>
    <phoneticPr fontId="2" type="noConversion"/>
  </si>
  <si>
    <t>말</t>
    <phoneticPr fontId="2" type="noConversion"/>
  </si>
  <si>
    <t>정령굴</t>
    <phoneticPr fontId="2" type="noConversion"/>
  </si>
  <si>
    <t>물</t>
    <phoneticPr fontId="2" type="noConversion"/>
  </si>
  <si>
    <t>불</t>
    <phoneticPr fontId="2" type="noConversion"/>
  </si>
  <si>
    <t>그린</t>
    <phoneticPr fontId="2" type="noConversion"/>
  </si>
  <si>
    <t>돌</t>
    <phoneticPr fontId="2" type="noConversion"/>
  </si>
  <si>
    <t>새굴</t>
    <phoneticPr fontId="2" type="noConversion"/>
  </si>
  <si>
    <t>큰소굴</t>
    <phoneticPr fontId="2" type="noConversion"/>
  </si>
  <si>
    <t>선인장굴</t>
    <phoneticPr fontId="2" type="noConversion"/>
  </si>
  <si>
    <t>불사조</t>
    <phoneticPr fontId="2" type="noConversion"/>
  </si>
  <si>
    <t>선인장</t>
    <phoneticPr fontId="2" type="noConversion"/>
  </si>
  <si>
    <t>나무</t>
    <phoneticPr fontId="2" type="noConversion"/>
  </si>
  <si>
    <t>용굴</t>
    <phoneticPr fontId="2" type="noConversion"/>
  </si>
  <si>
    <t>큰늑대</t>
    <phoneticPr fontId="2" type="noConversion"/>
  </si>
  <si>
    <t>가재</t>
    <phoneticPr fontId="2" type="noConversion"/>
  </si>
  <si>
    <t>문어</t>
    <phoneticPr fontId="2" type="noConversion"/>
  </si>
  <si>
    <t>거북굴</t>
    <phoneticPr fontId="2" type="noConversion"/>
  </si>
  <si>
    <t>고블린굴</t>
    <phoneticPr fontId="2" type="noConversion"/>
  </si>
  <si>
    <t>암흑문어굴</t>
    <phoneticPr fontId="2" type="noConversion"/>
  </si>
  <si>
    <t>양굴</t>
    <phoneticPr fontId="2" type="noConversion"/>
  </si>
  <si>
    <t>슬라임</t>
    <phoneticPr fontId="2" type="noConversion"/>
  </si>
  <si>
    <t>1차승급</t>
    <phoneticPr fontId="2" type="noConversion"/>
  </si>
  <si>
    <t>전직</t>
    <phoneticPr fontId="2" type="noConversion"/>
  </si>
  <si>
    <t>2차승급</t>
    <phoneticPr fontId="2" type="noConversion"/>
  </si>
  <si>
    <t>3차승급</t>
    <phoneticPr fontId="2" type="noConversion"/>
  </si>
  <si>
    <t>4차승급</t>
    <phoneticPr fontId="2" type="noConversion"/>
  </si>
  <si>
    <t>1~10</t>
    <phoneticPr fontId="2" type="noConversion"/>
  </si>
  <si>
    <t>10~20</t>
    <phoneticPr fontId="2" type="noConversion"/>
  </si>
  <si>
    <t>20~30</t>
    <phoneticPr fontId="2" type="noConversion"/>
  </si>
  <si>
    <t>30~40</t>
    <phoneticPr fontId="2" type="noConversion"/>
  </si>
  <si>
    <t>40~50</t>
    <phoneticPr fontId="2" type="noConversion"/>
  </si>
  <si>
    <t>50~60</t>
    <phoneticPr fontId="2" type="noConversion"/>
  </si>
  <si>
    <t>60~70</t>
    <phoneticPr fontId="2" type="noConversion"/>
  </si>
  <si>
    <t>70~80</t>
    <phoneticPr fontId="2" type="noConversion"/>
  </si>
  <si>
    <t>80~90</t>
    <phoneticPr fontId="2" type="noConversion"/>
  </si>
  <si>
    <t>90~99</t>
    <phoneticPr fontId="2" type="noConversion"/>
  </si>
  <si>
    <t>1만~2만</t>
    <phoneticPr fontId="2" type="noConversion"/>
  </si>
  <si>
    <t>2만~5만</t>
    <phoneticPr fontId="2" type="noConversion"/>
  </si>
  <si>
    <t>5만~10만</t>
    <phoneticPr fontId="2" type="noConversion"/>
  </si>
  <si>
    <t>10만~20만</t>
    <phoneticPr fontId="2" type="noConversion"/>
  </si>
  <si>
    <t>20만~50만</t>
    <phoneticPr fontId="2" type="noConversion"/>
  </si>
  <si>
    <t>50만~100만</t>
    <phoneticPr fontId="2" type="noConversion"/>
  </si>
  <si>
    <t>100만~200만</t>
    <phoneticPr fontId="2" type="noConversion"/>
  </si>
  <si>
    <t>200만~500만</t>
    <phoneticPr fontId="2" type="noConversion"/>
  </si>
  <si>
    <t>500만~1000만</t>
    <phoneticPr fontId="2" type="noConversion"/>
  </si>
  <si>
    <t>1000만~1700만</t>
    <phoneticPr fontId="2" type="noConversion"/>
  </si>
  <si>
    <t>1700만~2600만</t>
    <phoneticPr fontId="2" type="noConversion"/>
  </si>
  <si>
    <t>2600만~3700만</t>
    <phoneticPr fontId="2" type="noConversion"/>
  </si>
  <si>
    <t>3700만~5000만</t>
    <phoneticPr fontId="2" type="noConversion"/>
  </si>
  <si>
    <t>5000만~6500만</t>
    <phoneticPr fontId="2" type="noConversion"/>
  </si>
  <si>
    <t>6500만~8200만</t>
    <phoneticPr fontId="2" type="noConversion"/>
  </si>
  <si>
    <t>8200만~10100만</t>
    <phoneticPr fontId="2" type="noConversion"/>
  </si>
  <si>
    <t>노슬</t>
    <phoneticPr fontId="2" type="noConversion"/>
  </si>
  <si>
    <t>푸슬</t>
    <phoneticPr fontId="2" type="noConversion"/>
  </si>
  <si>
    <t>붉슬</t>
    <phoneticPr fontId="2" type="noConversion"/>
  </si>
  <si>
    <t>흰슬</t>
    <phoneticPr fontId="2" type="noConversion"/>
  </si>
  <si>
    <t>검슬</t>
    <phoneticPr fontId="2" type="noConversion"/>
  </si>
  <si>
    <t>갈양</t>
    <phoneticPr fontId="2" type="noConversion"/>
  </si>
  <si>
    <t>회양</t>
    <phoneticPr fontId="2" type="noConversion"/>
  </si>
  <si>
    <t>검양</t>
    <phoneticPr fontId="2" type="noConversion"/>
  </si>
  <si>
    <t>흰양</t>
    <phoneticPr fontId="2" type="noConversion"/>
  </si>
  <si>
    <t>초슬</t>
    <phoneticPr fontId="2" type="noConversion"/>
  </si>
  <si>
    <t>핑돼</t>
    <phoneticPr fontId="2" type="noConversion"/>
  </si>
  <si>
    <t>흰돼</t>
    <phoneticPr fontId="2" type="noConversion"/>
  </si>
  <si>
    <t>보돼</t>
    <phoneticPr fontId="2" type="noConversion"/>
  </si>
  <si>
    <t>검돼</t>
    <phoneticPr fontId="2" type="noConversion"/>
  </si>
  <si>
    <t>흰사</t>
    <phoneticPr fontId="2" type="noConversion"/>
  </si>
  <si>
    <t>검사</t>
    <phoneticPr fontId="2" type="noConversion"/>
  </si>
  <si>
    <t>파사</t>
    <phoneticPr fontId="2" type="noConversion"/>
  </si>
  <si>
    <t>갈사</t>
    <phoneticPr fontId="2" type="noConversion"/>
  </si>
  <si>
    <t>큰사슴</t>
    <phoneticPr fontId="2" type="noConversion"/>
  </si>
  <si>
    <t>소</t>
    <phoneticPr fontId="2" type="noConversion"/>
  </si>
  <si>
    <t>흰소</t>
    <phoneticPr fontId="2" type="noConversion"/>
  </si>
  <si>
    <t>검소</t>
    <phoneticPr fontId="2" type="noConversion"/>
  </si>
  <si>
    <t>곰</t>
    <phoneticPr fontId="2" type="noConversion"/>
  </si>
  <si>
    <t>보곰</t>
    <phoneticPr fontId="2" type="noConversion"/>
  </si>
  <si>
    <t>흰곰</t>
    <phoneticPr fontId="2" type="noConversion"/>
  </si>
  <si>
    <t>흑곰</t>
    <phoneticPr fontId="2" type="noConversion"/>
  </si>
  <si>
    <t>새</t>
    <phoneticPr fontId="2" type="noConversion"/>
  </si>
  <si>
    <t>파새</t>
    <phoneticPr fontId="2" type="noConversion"/>
  </si>
  <si>
    <t>핑새</t>
    <phoneticPr fontId="2" type="noConversion"/>
  </si>
  <si>
    <t>보새</t>
    <phoneticPr fontId="2" type="noConversion"/>
  </si>
  <si>
    <t>흰새</t>
    <phoneticPr fontId="2" type="noConversion"/>
  </si>
  <si>
    <t>검새</t>
    <phoneticPr fontId="2" type="noConversion"/>
  </si>
  <si>
    <t>세력전투</t>
    <phoneticPr fontId="2" type="noConversion"/>
  </si>
  <si>
    <t>암사자</t>
    <phoneticPr fontId="2" type="noConversion"/>
  </si>
  <si>
    <t>흰사자</t>
    <phoneticPr fontId="2" type="noConversion"/>
  </si>
  <si>
    <t>숫사자</t>
    <phoneticPr fontId="2" type="noConversion"/>
  </si>
  <si>
    <t>흰숫사자</t>
    <phoneticPr fontId="2" type="noConversion"/>
  </si>
  <si>
    <t>검사자</t>
    <phoneticPr fontId="2" type="noConversion"/>
  </si>
  <si>
    <t>검숫사자</t>
    <phoneticPr fontId="2" type="noConversion"/>
  </si>
  <si>
    <t>해저</t>
    <phoneticPr fontId="2" type="noConversion"/>
  </si>
  <si>
    <t>탐험</t>
    <phoneticPr fontId="2" type="noConversion"/>
  </si>
  <si>
    <t>얼음굴</t>
    <phoneticPr fontId="2" type="noConversion"/>
  </si>
  <si>
    <t>얼음양</t>
    <phoneticPr fontId="2" type="noConversion"/>
  </si>
  <si>
    <t>얼음돼지</t>
    <phoneticPr fontId="2" type="noConversion"/>
  </si>
  <si>
    <t>얼음사슴</t>
    <phoneticPr fontId="2" type="noConversion"/>
  </si>
  <si>
    <t>얼음소</t>
    <phoneticPr fontId="2" type="noConversion"/>
  </si>
  <si>
    <t>얼음말</t>
    <phoneticPr fontId="2" type="noConversion"/>
  </si>
  <si>
    <t>얼음새</t>
    <phoneticPr fontId="2" type="noConversion"/>
  </si>
  <si>
    <t>얼음호랑이</t>
    <phoneticPr fontId="2" type="noConversion"/>
  </si>
  <si>
    <t>얼음사자굴</t>
    <phoneticPr fontId="2" type="noConversion"/>
  </si>
  <si>
    <t>캥거루</t>
    <phoneticPr fontId="2" type="noConversion"/>
  </si>
  <si>
    <t>체력</t>
    <phoneticPr fontId="2" type="noConversion"/>
  </si>
  <si>
    <t>공격력</t>
    <phoneticPr fontId="2" type="noConversion"/>
  </si>
  <si>
    <t>이동속도</t>
    <phoneticPr fontId="2" type="noConversion"/>
  </si>
  <si>
    <t>방어력</t>
    <phoneticPr fontId="2" type="noConversion"/>
  </si>
  <si>
    <t>골드</t>
    <phoneticPr fontId="2" type="noConversion"/>
  </si>
  <si>
    <t>공격속도</t>
    <phoneticPr fontId="2" type="noConversion"/>
  </si>
  <si>
    <t>경험치</t>
    <phoneticPr fontId="2" type="noConversion"/>
  </si>
  <si>
    <t>이름</t>
    <phoneticPr fontId="2" type="noConversion"/>
  </si>
  <si>
    <t>슬라임굴</t>
    <phoneticPr fontId="2" type="noConversion"/>
  </si>
  <si>
    <t>해의땅</t>
    <phoneticPr fontId="2" type="noConversion"/>
  </si>
  <si>
    <t>늑대굴</t>
    <phoneticPr fontId="2" type="noConversion"/>
  </si>
  <si>
    <t>라이트</t>
    <phoneticPr fontId="2" type="noConversion"/>
  </si>
  <si>
    <t>킹덤</t>
    <phoneticPr fontId="2" type="noConversion"/>
  </si>
  <si>
    <t>새턴</t>
    <phoneticPr fontId="2" type="noConversion"/>
  </si>
  <si>
    <t>로우달</t>
    <phoneticPr fontId="2" type="noConversion"/>
  </si>
  <si>
    <t>킬러맨</t>
    <phoneticPr fontId="2" type="noConversion"/>
  </si>
  <si>
    <t>메린</t>
    <phoneticPr fontId="2" type="noConversion"/>
  </si>
  <si>
    <t>거선</t>
    <phoneticPr fontId="2" type="noConversion"/>
  </si>
  <si>
    <t>전승</t>
    <phoneticPr fontId="2" type="noConversion"/>
  </si>
  <si>
    <t>1차전승</t>
    <phoneticPr fontId="2" type="noConversion"/>
  </si>
  <si>
    <t>2차전승</t>
  </si>
  <si>
    <t>3차전승</t>
  </si>
  <si>
    <t>4차전승</t>
  </si>
  <si>
    <t>5차전승</t>
  </si>
  <si>
    <t>6차전승</t>
  </si>
  <si>
    <t>7차전승</t>
  </si>
  <si>
    <t>8차전승</t>
  </si>
  <si>
    <t>9차전승</t>
  </si>
  <si>
    <t>1년</t>
  </si>
  <si>
    <t>1년</t>
    <phoneticPr fontId="2" type="noConversion"/>
  </si>
  <si>
    <t>스킬1개</t>
  </si>
  <si>
    <t>스킬1개</t>
    <phoneticPr fontId="2" type="noConversion"/>
  </si>
  <si>
    <t>이름</t>
  </si>
  <si>
    <t>체력</t>
  </si>
  <si>
    <t>공격력</t>
  </si>
  <si>
    <t>방어력</t>
  </si>
  <si>
    <t>이동속도</t>
  </si>
  <si>
    <t>공격속도</t>
  </si>
  <si>
    <t>골드</t>
  </si>
  <si>
    <t>경험치</t>
  </si>
  <si>
    <t>초슬</t>
  </si>
  <si>
    <t>노슬</t>
  </si>
  <si>
    <t>푸슬</t>
  </si>
  <si>
    <t>붉슬</t>
  </si>
  <si>
    <t>흰슬</t>
  </si>
  <si>
    <t>검슬</t>
  </si>
  <si>
    <t>흰양</t>
  </si>
  <si>
    <t>회양</t>
  </si>
  <si>
    <t>갈양</t>
  </si>
  <si>
    <t>검양</t>
  </si>
  <si>
    <t>핑돼</t>
  </si>
  <si>
    <t>흰돼</t>
  </si>
  <si>
    <t>보돼</t>
  </si>
  <si>
    <t>검돼</t>
  </si>
  <si>
    <t>갈사</t>
  </si>
  <si>
    <t>파사</t>
  </si>
  <si>
    <t>흰사</t>
  </si>
  <si>
    <t>검사</t>
  </si>
  <si>
    <t>큰사슴</t>
  </si>
  <si>
    <t>소</t>
  </si>
  <si>
    <t>젖소</t>
  </si>
  <si>
    <t>흰소</t>
  </si>
  <si>
    <t>검소</t>
  </si>
  <si>
    <t>뿔소</t>
  </si>
  <si>
    <t>큰소굴</t>
  </si>
  <si>
    <t>말</t>
  </si>
  <si>
    <t>얼룩말</t>
  </si>
  <si>
    <t>백마</t>
  </si>
  <si>
    <t>흑마</t>
  </si>
  <si>
    <t>곰</t>
  </si>
  <si>
    <t>보곰</t>
  </si>
  <si>
    <t>흰곰</t>
  </si>
  <si>
    <t>흑곰</t>
  </si>
  <si>
    <t>새</t>
  </si>
  <si>
    <t>파새</t>
  </si>
  <si>
    <t>핑새</t>
  </si>
  <si>
    <t>보새</t>
  </si>
  <si>
    <t>흰새</t>
  </si>
  <si>
    <t>검새</t>
  </si>
  <si>
    <t>호랑</t>
  </si>
  <si>
    <t>갈호랑</t>
  </si>
  <si>
    <t>백호랑</t>
  </si>
  <si>
    <t>흑호랑</t>
  </si>
  <si>
    <t>큰늑대</t>
  </si>
  <si>
    <t>암사자</t>
  </si>
  <si>
    <t>숫사자</t>
  </si>
  <si>
    <t>흰사자</t>
  </si>
  <si>
    <t>흰숫사자</t>
  </si>
  <si>
    <t>검사자</t>
  </si>
  <si>
    <t>검숫사자</t>
  </si>
  <si>
    <t>id</t>
    <phoneticPr fontId="2" type="noConversion"/>
  </si>
  <si>
    <t>name</t>
    <phoneticPr fontId="2" type="noConversion"/>
  </si>
  <si>
    <t>HitSoundPath</t>
    <phoneticPr fontId="2" type="noConversion"/>
  </si>
  <si>
    <t>무르</t>
    <phoneticPr fontId="2" type="noConversion"/>
  </si>
  <si>
    <t>Sounds/Hit/2</t>
    <phoneticPr fontId="2" type="noConversion"/>
  </si>
  <si>
    <t>50/99999/30</t>
    <phoneticPr fontId="2" type="noConversion"/>
  </si>
  <si>
    <t>50/100001/1</t>
    <phoneticPr fontId="2" type="noConversion"/>
  </si>
  <si>
    <t>블루무르</t>
    <phoneticPr fontId="2" type="noConversion"/>
  </si>
  <si>
    <t>10/99999/40</t>
    <phoneticPr fontId="2" type="noConversion"/>
  </si>
  <si>
    <t>20/100002/1</t>
    <phoneticPr fontId="2" type="noConversion"/>
  </si>
  <si>
    <t>50/90002/1</t>
    <phoneticPr fontId="2" type="noConversion"/>
  </si>
  <si>
    <t>stat-level</t>
    <phoneticPr fontId="2" type="noConversion"/>
  </si>
  <si>
    <t>stat-maxHp</t>
    <phoneticPr fontId="2" type="noConversion"/>
  </si>
  <si>
    <t>stat-attack</t>
    <phoneticPr fontId="2" type="noConversion"/>
  </si>
  <si>
    <t>stat-speed</t>
    <phoneticPr fontId="2" type="noConversion"/>
  </si>
  <si>
    <t>stat-exp</t>
    <phoneticPr fontId="2" type="noConversion"/>
  </si>
  <si>
    <t>stat-dex</t>
    <phoneticPr fontId="2" type="noConversion"/>
  </si>
  <si>
    <t>레드무르</t>
    <phoneticPr fontId="2" type="noConversion"/>
  </si>
  <si>
    <t>30/99999/60</t>
    <phoneticPr fontId="2" type="noConversion"/>
  </si>
  <si>
    <t>50/100003/1</t>
    <phoneticPr fontId="2" type="noConversion"/>
  </si>
  <si>
    <t>rewards1</t>
    <phoneticPr fontId="2" type="noConversion"/>
  </si>
  <si>
    <t>rewards2</t>
    <phoneticPr fontId="2" type="noConversion"/>
  </si>
  <si>
    <t>rewards3</t>
    <phoneticPr fontId="2" type="noConversion"/>
  </si>
  <si>
    <t>Sounds/Hit/2</t>
  </si>
  <si>
    <t>블루슬라임</t>
    <phoneticPr fontId="2" type="noConversion"/>
  </si>
  <si>
    <t>레드슬라임</t>
    <phoneticPr fontId="2" type="noConversion"/>
  </si>
  <si>
    <t>화이트슬라임</t>
    <phoneticPr fontId="2" type="noConversion"/>
  </si>
  <si>
    <t>블랙슬라임</t>
    <phoneticPr fontId="2" type="noConversion"/>
  </si>
  <si>
    <t>양</t>
    <phoneticPr fontId="2" type="noConversion"/>
  </si>
  <si>
    <t>돼지</t>
    <phoneticPr fontId="2" type="noConversion"/>
  </si>
  <si>
    <t>백돼지</t>
    <phoneticPr fontId="2" type="noConversion"/>
  </si>
  <si>
    <t>자돼지</t>
    <phoneticPr fontId="2" type="noConversion"/>
  </si>
  <si>
    <t>흑돼지</t>
    <phoneticPr fontId="2" type="noConversion"/>
  </si>
  <si>
    <t>적양</t>
    <phoneticPr fontId="2" type="noConversion"/>
  </si>
  <si>
    <t>흑양</t>
    <phoneticPr fontId="2" type="noConversion"/>
  </si>
  <si>
    <t>사슴</t>
    <phoneticPr fontId="2" type="noConversion"/>
  </si>
  <si>
    <t>백사슴</t>
    <phoneticPr fontId="2" type="noConversion"/>
  </si>
  <si>
    <t>청사슴</t>
    <phoneticPr fontId="2" type="noConversion"/>
  </si>
  <si>
    <t>흑사슴</t>
    <phoneticPr fontId="2" type="noConversion"/>
  </si>
  <si>
    <t>황소</t>
    <phoneticPr fontId="2" type="noConversion"/>
  </si>
  <si>
    <t>백소</t>
    <phoneticPr fontId="2" type="noConversion"/>
  </si>
  <si>
    <t>흑소</t>
    <phoneticPr fontId="2" type="noConversion"/>
  </si>
  <si>
    <t>소왕</t>
    <phoneticPr fontId="2" type="noConversion"/>
  </si>
  <si>
    <t>사슴왕</t>
    <phoneticPr fontId="2" type="noConversion"/>
  </si>
  <si>
    <t>적곰</t>
    <phoneticPr fontId="2" type="noConversion"/>
  </si>
  <si>
    <t>백곰</t>
    <phoneticPr fontId="2" type="noConversion"/>
  </si>
  <si>
    <t>랜드버드</t>
    <phoneticPr fontId="2" type="noConversion"/>
  </si>
  <si>
    <t>블루버드</t>
    <phoneticPr fontId="2" type="noConversion"/>
  </si>
  <si>
    <t>핑크버드</t>
    <phoneticPr fontId="2" type="noConversion"/>
  </si>
  <si>
    <t>퍼플버드</t>
    <phoneticPr fontId="2" type="noConversion"/>
  </si>
  <si>
    <t>화이트버드</t>
    <phoneticPr fontId="2" type="noConversion"/>
  </si>
  <si>
    <t>블랙버드</t>
    <phoneticPr fontId="2" type="noConversion"/>
  </si>
  <si>
    <t>범호</t>
    <phoneticPr fontId="2" type="noConversion"/>
  </si>
  <si>
    <t>적호</t>
    <phoneticPr fontId="2" type="noConversion"/>
  </si>
  <si>
    <t>백호</t>
    <phoneticPr fontId="2" type="noConversion"/>
  </si>
  <si>
    <t>흑호</t>
    <phoneticPr fontId="2" type="noConversion"/>
  </si>
  <si>
    <t>대늑대</t>
    <phoneticPr fontId="2" type="noConversion"/>
  </si>
  <si>
    <t>백사자</t>
    <phoneticPr fontId="2" type="noConversion"/>
  </si>
  <si>
    <t>백숫사자</t>
    <phoneticPr fontId="2" type="noConversion"/>
  </si>
  <si>
    <t>흑사자</t>
    <phoneticPr fontId="2" type="noConversion"/>
  </si>
  <si>
    <t>id     이름        Level   Hp      Attack</t>
  </si>
  <si>
    <t>--------------------------------------</t>
  </si>
  <si>
    <t>1      슬라임        1      10      5</t>
  </si>
  <si>
    <t>2      블루슬라임     2      17      7</t>
  </si>
  <si>
    <t>3      레드슬라임     3      24      9</t>
  </si>
  <si>
    <t>4      화이트슬라임   4      31      11</t>
  </si>
  <si>
    <t>5      블랙슬라임     5      38      13</t>
  </si>
  <si>
    <t>6      양           6      46      15</t>
  </si>
  <si>
    <t>7      회양         7      53      17</t>
  </si>
  <si>
    <t>8      적양         8      61      19</t>
  </si>
  <si>
    <t>9      흑양         9      69      21</t>
  </si>
  <si>
    <t>10     돼지         10     77      23</t>
  </si>
  <si>
    <t>11     백돼지       11     86      25</t>
  </si>
  <si>
    <t>12     자돼지       12     95      27</t>
  </si>
  <si>
    <t>13     흑돼지       13     104     29</t>
  </si>
  <si>
    <t>14     사슴         14     114     31</t>
  </si>
  <si>
    <t>15     청사슴       15     124     33</t>
  </si>
  <si>
    <t>16     백사슴       16     134     35</t>
  </si>
  <si>
    <t>17     흑사슴       17     145     37</t>
  </si>
  <si>
    <t>18     사슴왕       18     156     39</t>
  </si>
  <si>
    <t>19     황소         19     168     41</t>
  </si>
  <si>
    <t>20     젖소         20     180     43</t>
  </si>
  <si>
    <t>21     백소         21     192     45</t>
  </si>
  <si>
    <t>22     흑소         22     205     47</t>
  </si>
  <si>
    <t>23     뿔소         23     218     49</t>
  </si>
  <si>
    <t>24     소왕         24     231     51</t>
  </si>
  <si>
    <t>25     말           25     245     53</t>
  </si>
  <si>
    <t>26     얼룩말       26     259     55</t>
  </si>
  <si>
    <t>27     백마         27     273     57</t>
  </si>
  <si>
    <t>28     흑마         28     288     59</t>
  </si>
  <si>
    <t>29     곰           29     303     61</t>
  </si>
  <si>
    <t>30     적곰         30     319     63</t>
  </si>
  <si>
    <t>31     백곰         31     335     65</t>
  </si>
  <si>
    <t>32     흑곰         32     352     67</t>
  </si>
  <si>
    <t>33     랜드버드     33     369     69</t>
  </si>
  <si>
    <t>34     블루버드     34     387     71</t>
  </si>
  <si>
    <t>35     핑크버드     35     405     73</t>
  </si>
  <si>
    <t>36     퍼플버드     36     423     75</t>
  </si>
  <si>
    <t>37     화이트버드   37     442     77</t>
  </si>
  <si>
    <t>38     블랙버드     38     461     79</t>
  </si>
  <si>
    <t>39     범호         39     480     81</t>
  </si>
  <si>
    <t>40     적호         40     500     83</t>
  </si>
  <si>
    <t>41     백호         41     520     85</t>
  </si>
  <si>
    <t>42     흑호         42     540     87</t>
  </si>
  <si>
    <t>43     대늑대     43     561     89</t>
  </si>
  <si>
    <t>44     암사자     44     582     91</t>
  </si>
  <si>
    <t>45     숫사자     45     603     93</t>
  </si>
  <si>
    <t>46     백사자     46     625     95</t>
  </si>
  <si>
    <t>47     백숫사자   47     647     97</t>
  </si>
  <si>
    <t>48     흑사자     48     669     99</t>
  </si>
  <si>
    <t>49     검숫사자   49     691     101</t>
  </si>
  <si>
    <t>hpConst</t>
    <phoneticPr fontId="2" type="noConversion"/>
  </si>
  <si>
    <t>attackConst</t>
    <phoneticPr fontId="2" type="noConversion"/>
  </si>
  <si>
    <t>expConst</t>
    <phoneticPr fontId="2" type="noConversion"/>
  </si>
  <si>
    <t>goldConst</t>
    <phoneticPr fontId="2" type="noConversion"/>
  </si>
  <si>
    <t>hpBase</t>
    <phoneticPr fontId="2" type="noConversion"/>
  </si>
  <si>
    <t>attackBase</t>
    <phoneticPr fontId="2" type="noConversion"/>
  </si>
  <si>
    <t>expBase</t>
    <phoneticPr fontId="2" type="noConversion"/>
  </si>
  <si>
    <t>goldBase</t>
    <phoneticPr fontId="2" type="noConversion"/>
  </si>
  <si>
    <t>stat-gold</t>
  </si>
  <si>
    <t>stat-gold</t>
    <phoneticPr fontId="2" type="noConversion"/>
  </si>
  <si>
    <t>hplvConst</t>
    <phoneticPr fontId="2" type="noConversion"/>
  </si>
  <si>
    <t>atkLvConst</t>
    <phoneticPr fontId="2" type="noConversion"/>
  </si>
  <si>
    <t>expLvConst</t>
    <phoneticPr fontId="2" type="noConversion"/>
  </si>
  <si>
    <t>goldLvConst</t>
    <phoneticPr fontId="2" type="noConversion"/>
  </si>
  <si>
    <t>stat-level</t>
  </si>
  <si>
    <t>stat-maxHp</t>
  </si>
  <si>
    <t>stat-attack</t>
  </si>
  <si>
    <t>stat-exp</t>
  </si>
  <si>
    <t>청양</t>
    <phoneticPr fontId="2" type="noConversion"/>
  </si>
  <si>
    <t>황돼지</t>
    <phoneticPr fontId="2" type="noConversion"/>
  </si>
  <si>
    <t>청돼지</t>
    <phoneticPr fontId="2" type="noConversion"/>
  </si>
  <si>
    <t>아기사슴</t>
    <phoneticPr fontId="2" type="noConversion"/>
  </si>
  <si>
    <t>청록소</t>
    <phoneticPr fontId="2" type="noConversion"/>
  </si>
  <si>
    <t>적록소</t>
    <phoneticPr fontId="2" type="noConversion"/>
  </si>
  <si>
    <t>흑록소</t>
    <phoneticPr fontId="2" type="noConversion"/>
  </si>
  <si>
    <t>백록소</t>
    <phoneticPr fontId="2" type="noConversion"/>
  </si>
  <si>
    <t>순록</t>
    <phoneticPr fontId="2" type="noConversion"/>
  </si>
  <si>
    <t>그린버드</t>
    <phoneticPr fontId="2" type="noConversion"/>
  </si>
  <si>
    <t>레드버드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</si>
</sst>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_ "/>
    <numFmt numFmtId="177" formatCode="#,##0_);[Red]\(#,##0\)"/>
    <numFmt numFmtId="178" formatCode="0_ "/>
  </numFmts>
  <fonts count="5" x14ac:knownFonts="1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u/>
      <sz val="11"/>
      <color rgb="FFFF0000"/>
      <name val="맑은 고딕"/>
      <family val="3"/>
      <charset val="129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E9C5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left" vertical="center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177" fontId="0" fillId="0" borderId="0" xfId="0" applyNumberForma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178" fontId="0" fillId="0" borderId="0" xfId="0" applyNumberFormat="1">
      <alignment vertical="center"/>
    </xf>
    <xf numFmtId="176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1" fillId="2" borderId="0" xfId="0" applyFont="1" applyFill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176" fontId="0" fillId="0" borderId="1" xfId="0" applyNumberFormat="1" applyBorder="1">
      <alignment vertical="center"/>
    </xf>
    <xf numFmtId="0" fontId="0" fillId="11" borderId="1" xfId="0" applyFill="1" applyBorder="1">
      <alignment vertical="center"/>
    </xf>
    <xf numFmtId="0" fontId="0" fillId="12" borderId="1" xfId="0" applyFill="1" applyBorder="1">
      <alignment vertical="center"/>
    </xf>
    <xf numFmtId="0" fontId="0" fillId="13" borderId="1" xfId="0" applyFill="1" applyBorder="1">
      <alignment vertical="center"/>
    </xf>
    <xf numFmtId="0" fontId="1" fillId="0" borderId="1" xfId="0" applyFont="1" applyBorder="1">
      <alignment vertical="center"/>
    </xf>
    <xf numFmtId="0" fontId="3" fillId="2" borderId="1" xfId="0" applyFont="1" applyFill="1" applyBorder="1">
      <alignment vertical="center"/>
    </xf>
    <xf numFmtId="0" fontId="3" fillId="5" borderId="1" xfId="0" applyFont="1" applyFill="1" applyBorder="1">
      <alignment vertical="center"/>
    </xf>
    <xf numFmtId="0" fontId="3" fillId="5" borderId="2" xfId="0" applyFont="1" applyFill="1" applyBorder="1">
      <alignment vertical="center"/>
    </xf>
    <xf numFmtId="0" fontId="3" fillId="6" borderId="1" xfId="0" applyFont="1" applyFill="1" applyBorder="1">
      <alignment vertical="center"/>
    </xf>
    <xf numFmtId="0" fontId="3" fillId="6" borderId="2" xfId="0" applyFont="1" applyFill="1" applyBorder="1">
      <alignment vertical="center"/>
    </xf>
    <xf numFmtId="0" fontId="3" fillId="7" borderId="1" xfId="0" applyFont="1" applyFill="1" applyBorder="1">
      <alignment vertical="center"/>
    </xf>
    <xf numFmtId="0" fontId="1" fillId="7" borderId="1" xfId="0" applyFont="1" applyFill="1" applyBorder="1">
      <alignment vertical="center"/>
    </xf>
    <xf numFmtId="0" fontId="1" fillId="8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0" fontId="1" fillId="9" borderId="1" xfId="0" applyFont="1" applyFill="1" applyBorder="1">
      <alignment vertical="center"/>
    </xf>
    <xf numFmtId="0" fontId="3" fillId="9" borderId="1" xfId="0" applyFont="1" applyFill="1" applyBorder="1">
      <alignment vertical="center"/>
    </xf>
    <xf numFmtId="0" fontId="1" fillId="10" borderId="1" xfId="0" applyFont="1" applyFill="1" applyBorder="1">
      <alignment vertical="center"/>
    </xf>
    <xf numFmtId="0" fontId="3" fillId="10" borderId="1" xfId="0" applyFont="1" applyFill="1" applyBorder="1">
      <alignment vertical="center"/>
    </xf>
    <xf numFmtId="0" fontId="4" fillId="10" borderId="1" xfId="0" applyFont="1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E9C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D4C26-D693-40CB-9D9B-547792F9B5C4}">
  <sheetPr codeName="Sheet3"/>
  <dimension ref="A1:T64"/>
  <sheetViews>
    <sheetView tabSelected="1" topLeftCell="A25" zoomScaleNormal="100" workbookViewId="0">
      <selection activeCell="E37" sqref="E37"/>
    </sheetView>
  </sheetViews>
  <sheetFormatPr defaultRowHeight="16.5" x14ac:dyDescent="0.3"/>
  <cols>
    <col min="1" max="2" width="13.75" customWidth="1"/>
    <col min="6" max="6" width="13.75" customWidth="1"/>
    <col min="8" max="12" width="13.75" customWidth="1"/>
    <col min="15" max="20" width="13.75" customWidth="1"/>
  </cols>
  <sheetData>
    <row r="1" spans="1:12" x14ac:dyDescent="0.3">
      <c r="A1" s="12" t="s">
        <v>219</v>
      </c>
      <c r="B1" s="12" t="s">
        <v>220</v>
      </c>
      <c r="C1" s="12" t="s">
        <v>344</v>
      </c>
      <c r="D1" s="12" t="s">
        <v>345</v>
      </c>
      <c r="E1" s="12" t="s">
        <v>346</v>
      </c>
      <c r="F1" s="12" t="s">
        <v>233</v>
      </c>
      <c r="G1" s="12" t="s">
        <v>347</v>
      </c>
      <c r="H1" s="12" t="s">
        <v>235</v>
      </c>
      <c r="I1" s="12" t="s">
        <v>221</v>
      </c>
      <c r="J1" s="12" t="s">
        <v>239</v>
      </c>
      <c r="K1" s="12" t="s">
        <v>240</v>
      </c>
      <c r="L1" s="12" t="s">
        <v>241</v>
      </c>
    </row>
    <row r="2" spans="1:12" x14ac:dyDescent="0.3">
      <c r="A2" s="12">
        <v>1</v>
      </c>
      <c r="B2" s="18" t="s">
        <v>46</v>
      </c>
      <c r="C2" s="12">
        <f>LevelDesign!P2</f>
        <v>1</v>
      </c>
      <c r="D2" s="14">
        <f>LevelDesign!Q2</f>
        <v>3</v>
      </c>
      <c r="E2" s="14">
        <f>LevelDesign!R2</f>
        <v>5</v>
      </c>
      <c r="F2" s="12">
        <v>100</v>
      </c>
      <c r="G2" s="14">
        <f>LevelDesign!S2</f>
        <v>3</v>
      </c>
      <c r="H2" s="12">
        <v>1600</v>
      </c>
      <c r="I2" s="12" t="s">
        <v>223</v>
      </c>
      <c r="J2" s="12" t="s">
        <v>224</v>
      </c>
      <c r="K2" s="12" t="s">
        <v>225</v>
      </c>
      <c r="L2" s="12" t="s">
        <v>225</v>
      </c>
    </row>
    <row r="3" spans="1:12" x14ac:dyDescent="0.3">
      <c r="A3" s="12">
        <v>2</v>
      </c>
      <c r="B3" s="18" t="s">
        <v>243</v>
      </c>
      <c r="C3" s="12">
        <f>LevelDesign!P3</f>
        <v>3</v>
      </c>
      <c r="D3" s="14">
        <f>LevelDesign!Q3</f>
        <v>9</v>
      </c>
      <c r="E3" s="14">
        <f>LevelDesign!R3</f>
        <v>7</v>
      </c>
      <c r="F3" s="12">
        <v>100</v>
      </c>
      <c r="G3" s="14">
        <f>LevelDesign!S3</f>
        <v>4</v>
      </c>
      <c r="H3" s="12">
        <v>1600</v>
      </c>
      <c r="I3" s="12" t="s">
        <v>223</v>
      </c>
      <c r="J3" s="12" t="s">
        <v>227</v>
      </c>
      <c r="K3" s="12"/>
      <c r="L3" s="12"/>
    </row>
    <row r="4" spans="1:12" x14ac:dyDescent="0.3">
      <c r="A4" s="12">
        <v>3</v>
      </c>
      <c r="B4" s="18" t="s">
        <v>244</v>
      </c>
      <c r="C4" s="12">
        <f>LevelDesign!P4</f>
        <v>5</v>
      </c>
      <c r="D4" s="14">
        <f>LevelDesign!Q4</f>
        <v>21</v>
      </c>
      <c r="E4" s="14">
        <f>LevelDesign!R4</f>
        <v>11</v>
      </c>
      <c r="F4" s="12">
        <v>100</v>
      </c>
      <c r="G4" s="14">
        <f>LevelDesign!S4</f>
        <v>6</v>
      </c>
      <c r="H4" s="12">
        <v>1600</v>
      </c>
      <c r="I4" s="12" t="s">
        <v>223</v>
      </c>
      <c r="J4" s="12" t="s">
        <v>237</v>
      </c>
      <c r="K4" s="12" t="s">
        <v>238</v>
      </c>
      <c r="L4" s="12" t="s">
        <v>225</v>
      </c>
    </row>
    <row r="5" spans="1:12" x14ac:dyDescent="0.3">
      <c r="A5" s="12">
        <v>4</v>
      </c>
      <c r="B5" s="18" t="s">
        <v>245</v>
      </c>
      <c r="C5" s="12">
        <f>LevelDesign!P5</f>
        <v>7</v>
      </c>
      <c r="D5" s="14">
        <f>LevelDesign!Q5</f>
        <v>39</v>
      </c>
      <c r="E5" s="14">
        <f>LevelDesign!R5</f>
        <v>17</v>
      </c>
      <c r="F5" s="12">
        <v>100</v>
      </c>
      <c r="G5" s="14">
        <f>LevelDesign!S5</f>
        <v>8</v>
      </c>
      <c r="H5" s="12">
        <v>1600</v>
      </c>
      <c r="I5" s="12" t="s">
        <v>223</v>
      </c>
    </row>
    <row r="6" spans="1:12" x14ac:dyDescent="0.3">
      <c r="A6" s="12">
        <v>5</v>
      </c>
      <c r="B6" s="18" t="s">
        <v>246</v>
      </c>
      <c r="C6" s="12">
        <f>LevelDesign!P6</f>
        <v>9</v>
      </c>
      <c r="D6" s="14">
        <f>LevelDesign!Q6</f>
        <v>63</v>
      </c>
      <c r="E6" s="14">
        <f>LevelDesign!R6</f>
        <v>25</v>
      </c>
      <c r="F6" s="12">
        <v>100</v>
      </c>
      <c r="G6" s="14">
        <f>LevelDesign!S6</f>
        <v>11</v>
      </c>
      <c r="H6" s="12">
        <v>1600</v>
      </c>
      <c r="I6" s="12" t="s">
        <v>223</v>
      </c>
    </row>
    <row r="7" spans="1:12" x14ac:dyDescent="0.3">
      <c r="A7" s="12">
        <v>6</v>
      </c>
      <c r="B7" s="19" t="s">
        <v>247</v>
      </c>
      <c r="C7" s="12">
        <f>LevelDesign!P7</f>
        <v>13</v>
      </c>
      <c r="D7" s="14">
        <f>LevelDesign!Q7</f>
        <v>129</v>
      </c>
      <c r="E7" s="14">
        <f>LevelDesign!R7</f>
        <v>47</v>
      </c>
      <c r="F7" s="12">
        <v>100</v>
      </c>
      <c r="G7" s="14">
        <f>LevelDesign!S7</f>
        <v>20</v>
      </c>
      <c r="H7" s="12">
        <v>1600</v>
      </c>
      <c r="I7" s="12" t="s">
        <v>242</v>
      </c>
    </row>
    <row r="8" spans="1:12" x14ac:dyDescent="0.3">
      <c r="A8" s="12">
        <v>7</v>
      </c>
      <c r="B8" s="19" t="s">
        <v>84</v>
      </c>
      <c r="C8" s="12">
        <f>LevelDesign!P8</f>
        <v>15</v>
      </c>
      <c r="D8" s="14">
        <f>LevelDesign!Q8</f>
        <v>171</v>
      </c>
      <c r="E8" s="14">
        <f>LevelDesign!R8</f>
        <v>61</v>
      </c>
      <c r="F8" s="12">
        <v>100</v>
      </c>
      <c r="G8" s="14">
        <f>LevelDesign!S8</f>
        <v>26</v>
      </c>
      <c r="H8" s="12">
        <v>1600</v>
      </c>
      <c r="I8" s="12" t="s">
        <v>242</v>
      </c>
    </row>
    <row r="9" spans="1:12" x14ac:dyDescent="0.3">
      <c r="A9" s="12">
        <v>8</v>
      </c>
      <c r="B9" s="19" t="s">
        <v>252</v>
      </c>
      <c r="C9" s="12">
        <f>LevelDesign!P9</f>
        <v>17</v>
      </c>
      <c r="D9" s="14">
        <f>LevelDesign!Q9</f>
        <v>219</v>
      </c>
      <c r="E9" s="14">
        <f>LevelDesign!R9</f>
        <v>77</v>
      </c>
      <c r="F9" s="12">
        <v>100</v>
      </c>
      <c r="G9" s="14">
        <f>LevelDesign!S9</f>
        <v>32</v>
      </c>
      <c r="H9" s="12">
        <v>1600</v>
      </c>
      <c r="I9" s="12" t="s">
        <v>242</v>
      </c>
    </row>
    <row r="10" spans="1:12" x14ac:dyDescent="0.3">
      <c r="A10" s="12">
        <v>9</v>
      </c>
      <c r="B10" s="19" t="s">
        <v>348</v>
      </c>
      <c r="C10" s="12">
        <f>LevelDesign!P10</f>
        <v>19</v>
      </c>
      <c r="D10" s="14">
        <f>LevelDesign!Q10</f>
        <v>273</v>
      </c>
      <c r="E10" s="14">
        <f>LevelDesign!R10</f>
        <v>95</v>
      </c>
      <c r="F10" s="12">
        <v>100</v>
      </c>
      <c r="G10" s="14">
        <f>LevelDesign!S10</f>
        <v>39</v>
      </c>
      <c r="H10" s="12">
        <v>1600</v>
      </c>
      <c r="I10" s="12" t="s">
        <v>242</v>
      </c>
    </row>
    <row r="11" spans="1:12" x14ac:dyDescent="0.3">
      <c r="A11" s="12">
        <v>10</v>
      </c>
      <c r="B11" s="19" t="s">
        <v>253</v>
      </c>
      <c r="C11" s="12">
        <f>LevelDesign!P11</f>
        <v>23</v>
      </c>
      <c r="D11" s="14">
        <f>LevelDesign!Q11</f>
        <v>399</v>
      </c>
      <c r="E11" s="14">
        <f>LevelDesign!R11</f>
        <v>137</v>
      </c>
      <c r="F11" s="12">
        <v>100</v>
      </c>
      <c r="G11" s="14">
        <f>LevelDesign!S11</f>
        <v>56</v>
      </c>
      <c r="H11" s="12">
        <v>1600</v>
      </c>
      <c r="I11" s="12" t="s">
        <v>242</v>
      </c>
    </row>
    <row r="12" spans="1:12" x14ac:dyDescent="0.3">
      <c r="A12" s="12">
        <v>11</v>
      </c>
      <c r="B12" s="20" t="s">
        <v>248</v>
      </c>
      <c r="C12" s="12">
        <f>LevelDesign!P12</f>
        <v>25</v>
      </c>
      <c r="D12" s="14">
        <f>LevelDesign!Q12</f>
        <v>471</v>
      </c>
      <c r="E12" s="14">
        <f>LevelDesign!R12</f>
        <v>161</v>
      </c>
      <c r="F12" s="12">
        <v>100</v>
      </c>
      <c r="G12" s="14">
        <f>LevelDesign!S12</f>
        <v>66</v>
      </c>
      <c r="H12" s="12">
        <v>1600</v>
      </c>
      <c r="I12" s="12" t="s">
        <v>242</v>
      </c>
    </row>
    <row r="13" spans="1:12" x14ac:dyDescent="0.3">
      <c r="A13" s="12">
        <v>12</v>
      </c>
      <c r="B13" s="20" t="s">
        <v>349</v>
      </c>
      <c r="C13" s="12">
        <f>LevelDesign!P13</f>
        <v>27</v>
      </c>
      <c r="D13" s="14">
        <f>LevelDesign!Q13</f>
        <v>549</v>
      </c>
      <c r="E13" s="14">
        <f>LevelDesign!R13</f>
        <v>187</v>
      </c>
      <c r="F13" s="12">
        <v>100</v>
      </c>
      <c r="G13" s="14">
        <f>LevelDesign!S13</f>
        <v>76</v>
      </c>
      <c r="H13" s="12">
        <v>1600</v>
      </c>
      <c r="I13" s="12" t="s">
        <v>242</v>
      </c>
    </row>
    <row r="14" spans="1:12" x14ac:dyDescent="0.3">
      <c r="A14" s="12">
        <v>13</v>
      </c>
      <c r="B14" s="20" t="s">
        <v>249</v>
      </c>
      <c r="C14" s="12">
        <f>LevelDesign!P14</f>
        <v>29</v>
      </c>
      <c r="D14" s="14">
        <f>LevelDesign!Q14</f>
        <v>633</v>
      </c>
      <c r="E14" s="14">
        <f>LevelDesign!R14</f>
        <v>215</v>
      </c>
      <c r="F14" s="12">
        <v>100</v>
      </c>
      <c r="G14" s="14">
        <f>LevelDesign!S14</f>
        <v>87</v>
      </c>
      <c r="H14" s="12">
        <v>1600</v>
      </c>
      <c r="I14" s="12" t="s">
        <v>242</v>
      </c>
    </row>
    <row r="15" spans="1:12" x14ac:dyDescent="0.3">
      <c r="A15" s="12">
        <v>14</v>
      </c>
      <c r="B15" s="21" t="s">
        <v>350</v>
      </c>
      <c r="C15" s="12">
        <f>LevelDesign!P15</f>
        <v>33</v>
      </c>
      <c r="D15" s="14">
        <f>LevelDesign!Q15</f>
        <v>819</v>
      </c>
      <c r="E15" s="14">
        <f>LevelDesign!R15</f>
        <v>277</v>
      </c>
      <c r="F15" s="12">
        <v>100</v>
      </c>
      <c r="G15" s="14">
        <f>LevelDesign!S15</f>
        <v>112</v>
      </c>
      <c r="H15" s="12">
        <v>1600</v>
      </c>
      <c r="I15" s="12" t="s">
        <v>242</v>
      </c>
    </row>
    <row r="16" spans="1:12" x14ac:dyDescent="0.3">
      <c r="A16" s="12">
        <v>15</v>
      </c>
      <c r="B16" s="20" t="s">
        <v>250</v>
      </c>
      <c r="C16" s="12">
        <f>LevelDesign!P16</f>
        <v>35</v>
      </c>
      <c r="D16" s="14">
        <f>LevelDesign!Q16</f>
        <v>921</v>
      </c>
      <c r="E16" s="14">
        <f>LevelDesign!R16</f>
        <v>311</v>
      </c>
      <c r="F16" s="12">
        <v>100</v>
      </c>
      <c r="G16" s="14">
        <f>LevelDesign!S16</f>
        <v>126</v>
      </c>
      <c r="H16" s="12">
        <v>1600</v>
      </c>
      <c r="I16" s="12" t="s">
        <v>242</v>
      </c>
    </row>
    <row r="17" spans="1:12" x14ac:dyDescent="0.3">
      <c r="A17" s="12">
        <v>16</v>
      </c>
      <c r="B17" s="20" t="s">
        <v>251</v>
      </c>
      <c r="C17" s="12">
        <f>LevelDesign!P17</f>
        <v>37</v>
      </c>
      <c r="D17" s="14">
        <f>LevelDesign!Q17</f>
        <v>1029</v>
      </c>
      <c r="E17" s="14">
        <f>LevelDesign!R17</f>
        <v>347</v>
      </c>
      <c r="F17" s="12">
        <v>100</v>
      </c>
      <c r="G17" s="14">
        <f>LevelDesign!S17</f>
        <v>140</v>
      </c>
      <c r="H17" s="12">
        <v>1600</v>
      </c>
      <c r="I17" s="12" t="s">
        <v>242</v>
      </c>
    </row>
    <row r="18" spans="1:12" x14ac:dyDescent="0.3">
      <c r="A18" s="12">
        <v>17</v>
      </c>
      <c r="B18" s="22" t="s">
        <v>351</v>
      </c>
      <c r="C18" s="12">
        <f>LevelDesign!P18</f>
        <v>39</v>
      </c>
      <c r="D18" s="14">
        <f>LevelDesign!Q18</f>
        <v>1143</v>
      </c>
      <c r="E18" s="14">
        <f>LevelDesign!R18</f>
        <v>385</v>
      </c>
      <c r="F18" s="12">
        <v>100</v>
      </c>
      <c r="G18" s="14">
        <f>LevelDesign!S18</f>
        <v>155</v>
      </c>
      <c r="H18" s="12">
        <v>1600</v>
      </c>
      <c r="I18" s="12" t="s">
        <v>242</v>
      </c>
    </row>
    <row r="19" spans="1:12" x14ac:dyDescent="0.3">
      <c r="A19" s="12">
        <v>18</v>
      </c>
      <c r="B19" s="22" t="s">
        <v>262</v>
      </c>
      <c r="C19" s="12">
        <f>LevelDesign!P19</f>
        <v>43</v>
      </c>
      <c r="D19" s="14">
        <f>LevelDesign!Q19</f>
        <v>1389</v>
      </c>
      <c r="E19" s="14">
        <f>LevelDesign!R19</f>
        <v>467</v>
      </c>
      <c r="F19" s="12">
        <v>100</v>
      </c>
      <c r="G19" s="14">
        <f>LevelDesign!S19</f>
        <v>188</v>
      </c>
      <c r="H19" s="12">
        <v>1600</v>
      </c>
      <c r="I19" s="12" t="s">
        <v>242</v>
      </c>
    </row>
    <row r="20" spans="1:12" x14ac:dyDescent="0.3">
      <c r="A20" s="12">
        <v>19</v>
      </c>
      <c r="B20" s="22" t="s">
        <v>352</v>
      </c>
      <c r="C20" s="12">
        <f>LevelDesign!P20</f>
        <v>43</v>
      </c>
      <c r="D20" s="14">
        <f>LevelDesign!Q20</f>
        <v>1389</v>
      </c>
      <c r="E20" s="14">
        <f>LevelDesign!R20</f>
        <v>467</v>
      </c>
      <c r="F20" s="12">
        <v>100</v>
      </c>
      <c r="G20" s="14">
        <f>LevelDesign!S20</f>
        <v>188</v>
      </c>
      <c r="H20" s="12">
        <v>1600</v>
      </c>
      <c r="I20" s="12" t="s">
        <v>242</v>
      </c>
      <c r="J20" s="12" t="s">
        <v>237</v>
      </c>
      <c r="K20" s="12" t="s">
        <v>238</v>
      </c>
      <c r="L20" s="12" t="s">
        <v>225</v>
      </c>
    </row>
    <row r="21" spans="1:12" x14ac:dyDescent="0.3">
      <c r="A21" s="12">
        <v>20</v>
      </c>
      <c r="B21" s="23" t="s">
        <v>353</v>
      </c>
      <c r="C21" s="12">
        <f>LevelDesign!P21</f>
        <v>45</v>
      </c>
      <c r="D21" s="14">
        <f>LevelDesign!Q21</f>
        <v>1521</v>
      </c>
      <c r="E21" s="14">
        <f>LevelDesign!R21</f>
        <v>511</v>
      </c>
      <c r="F21" s="12">
        <v>100</v>
      </c>
      <c r="G21" s="14">
        <f>LevelDesign!S21</f>
        <v>206</v>
      </c>
      <c r="H21" s="12">
        <v>1600</v>
      </c>
      <c r="I21" s="12" t="s">
        <v>242</v>
      </c>
    </row>
    <row r="22" spans="1:12" x14ac:dyDescent="0.3">
      <c r="A22" s="12">
        <v>21</v>
      </c>
      <c r="B22" s="23" t="s">
        <v>354</v>
      </c>
      <c r="C22" s="12">
        <f>LevelDesign!P22</f>
        <v>47</v>
      </c>
      <c r="D22" s="14">
        <f>LevelDesign!Q22</f>
        <v>1659</v>
      </c>
      <c r="E22" s="14">
        <f>LevelDesign!R22</f>
        <v>557</v>
      </c>
      <c r="F22" s="12">
        <v>100</v>
      </c>
      <c r="G22" s="14">
        <f>LevelDesign!S22</f>
        <v>224</v>
      </c>
      <c r="H22" s="12">
        <v>1600</v>
      </c>
      <c r="I22" s="12" t="s">
        <v>242</v>
      </c>
    </row>
    <row r="23" spans="1:12" x14ac:dyDescent="0.3">
      <c r="A23" s="12">
        <v>22</v>
      </c>
      <c r="B23" s="23" t="s">
        <v>355</v>
      </c>
      <c r="C23" s="12">
        <f>LevelDesign!P23</f>
        <v>49</v>
      </c>
      <c r="D23" s="14">
        <f>LevelDesign!Q23</f>
        <v>1803</v>
      </c>
      <c r="E23" s="14">
        <f>LevelDesign!R23</f>
        <v>605</v>
      </c>
      <c r="F23" s="12">
        <v>100</v>
      </c>
      <c r="G23" s="14">
        <f>LevelDesign!S23</f>
        <v>243</v>
      </c>
      <c r="H23" s="12">
        <v>1600</v>
      </c>
      <c r="I23" s="12" t="s">
        <v>242</v>
      </c>
    </row>
    <row r="24" spans="1:12" x14ac:dyDescent="0.3">
      <c r="A24" s="12">
        <v>23</v>
      </c>
      <c r="B24" s="23" t="s">
        <v>356</v>
      </c>
      <c r="C24" s="12">
        <f>LevelDesign!P24</f>
        <v>51</v>
      </c>
      <c r="D24" s="14">
        <f>LevelDesign!Q24</f>
        <v>1953</v>
      </c>
      <c r="E24" s="14">
        <f>LevelDesign!R24</f>
        <v>655</v>
      </c>
      <c r="F24" s="12">
        <v>100</v>
      </c>
      <c r="G24" s="14">
        <f>LevelDesign!S24</f>
        <v>263</v>
      </c>
      <c r="H24" s="12">
        <v>1600</v>
      </c>
      <c r="I24" s="12" t="s">
        <v>242</v>
      </c>
      <c r="J24" s="12" t="s">
        <v>237</v>
      </c>
      <c r="K24" s="12" t="s">
        <v>238</v>
      </c>
      <c r="L24" s="12" t="s">
        <v>225</v>
      </c>
    </row>
    <row r="25" spans="1:12" x14ac:dyDescent="0.3">
      <c r="A25" s="12">
        <v>24</v>
      </c>
      <c r="B25" s="24" t="s">
        <v>258</v>
      </c>
      <c r="C25" s="12">
        <f>LevelDesign!P25</f>
        <v>51</v>
      </c>
      <c r="D25" s="14">
        <f>LevelDesign!Q25</f>
        <v>1953</v>
      </c>
      <c r="E25" s="14">
        <f>LevelDesign!R25</f>
        <v>655</v>
      </c>
      <c r="F25" s="12">
        <v>100</v>
      </c>
      <c r="G25" s="14">
        <f>LevelDesign!S25</f>
        <v>263</v>
      </c>
      <c r="H25" s="12">
        <v>1600</v>
      </c>
      <c r="I25" s="12" t="s">
        <v>242</v>
      </c>
    </row>
    <row r="26" spans="1:12" x14ac:dyDescent="0.3">
      <c r="A26" s="12">
        <v>25</v>
      </c>
      <c r="B26" s="24" t="s">
        <v>20</v>
      </c>
      <c r="C26" s="12">
        <f>LevelDesign!P26</f>
        <v>54</v>
      </c>
      <c r="D26" s="14">
        <f>LevelDesign!Q26</f>
        <v>2189</v>
      </c>
      <c r="E26" s="14">
        <f>LevelDesign!R26</f>
        <v>734</v>
      </c>
      <c r="F26" s="12">
        <v>100</v>
      </c>
      <c r="G26" s="14">
        <f>LevelDesign!S26</f>
        <v>295</v>
      </c>
      <c r="H26" s="12">
        <v>1600</v>
      </c>
      <c r="I26" s="12" t="s">
        <v>242</v>
      </c>
    </row>
    <row r="27" spans="1:12" x14ac:dyDescent="0.3">
      <c r="A27" s="12">
        <v>26</v>
      </c>
      <c r="B27" s="24" t="s">
        <v>259</v>
      </c>
      <c r="C27" s="12">
        <f>LevelDesign!P27</f>
        <v>56</v>
      </c>
      <c r="D27" s="14">
        <f>LevelDesign!Q27</f>
        <v>2354</v>
      </c>
      <c r="E27" s="14">
        <f>LevelDesign!R27</f>
        <v>789</v>
      </c>
      <c r="F27" s="12">
        <v>100</v>
      </c>
      <c r="G27" s="14">
        <f>LevelDesign!S27</f>
        <v>317</v>
      </c>
      <c r="H27" s="12">
        <v>1600</v>
      </c>
      <c r="I27" s="12" t="s">
        <v>242</v>
      </c>
    </row>
    <row r="28" spans="1:12" x14ac:dyDescent="0.3">
      <c r="A28" s="12">
        <v>27</v>
      </c>
      <c r="B28" s="24" t="s">
        <v>260</v>
      </c>
      <c r="C28" s="12">
        <f>LevelDesign!P28</f>
        <v>57</v>
      </c>
      <c r="D28" s="14">
        <f>LevelDesign!Q28</f>
        <v>2439</v>
      </c>
      <c r="E28" s="14">
        <f>LevelDesign!R28</f>
        <v>817</v>
      </c>
      <c r="F28" s="12">
        <v>100</v>
      </c>
      <c r="G28" s="14">
        <f>LevelDesign!S28</f>
        <v>328</v>
      </c>
      <c r="H28" s="12">
        <v>1600</v>
      </c>
      <c r="I28" s="12" t="s">
        <v>242</v>
      </c>
    </row>
    <row r="29" spans="1:12" x14ac:dyDescent="0.3">
      <c r="A29" s="12">
        <v>28</v>
      </c>
      <c r="B29" s="25" t="s">
        <v>21</v>
      </c>
      <c r="C29" s="12">
        <f>LevelDesign!P29</f>
        <v>59</v>
      </c>
      <c r="D29" s="14">
        <f>LevelDesign!Q29</f>
        <v>2613</v>
      </c>
      <c r="E29" s="14">
        <f>LevelDesign!R29</f>
        <v>875</v>
      </c>
      <c r="F29" s="12">
        <v>100</v>
      </c>
      <c r="G29" s="14">
        <f>LevelDesign!S29</f>
        <v>351</v>
      </c>
      <c r="H29" s="12">
        <v>1600</v>
      </c>
      <c r="I29" s="12" t="s">
        <v>242</v>
      </c>
    </row>
    <row r="30" spans="1:12" x14ac:dyDescent="0.3">
      <c r="A30" s="12">
        <v>29</v>
      </c>
      <c r="B30" s="24" t="s">
        <v>261</v>
      </c>
      <c r="C30" s="12">
        <f>LevelDesign!P30</f>
        <v>61</v>
      </c>
      <c r="D30" s="14">
        <f>LevelDesign!Q30</f>
        <v>2793</v>
      </c>
      <c r="E30" s="14">
        <f>LevelDesign!R30</f>
        <v>935</v>
      </c>
      <c r="F30" s="12">
        <v>100</v>
      </c>
      <c r="G30" s="14">
        <f>LevelDesign!S30</f>
        <v>375</v>
      </c>
      <c r="H30" s="12">
        <v>1600</v>
      </c>
      <c r="I30" s="12" t="s">
        <v>242</v>
      </c>
    </row>
    <row r="31" spans="1:12" x14ac:dyDescent="0.3">
      <c r="A31" s="12">
        <v>30</v>
      </c>
      <c r="B31" s="26" t="s">
        <v>26</v>
      </c>
      <c r="C31" s="12">
        <f>LevelDesign!P31</f>
        <v>63</v>
      </c>
      <c r="D31" s="14">
        <f>LevelDesign!Q31</f>
        <v>2979</v>
      </c>
      <c r="E31" s="14">
        <f>LevelDesign!R31</f>
        <v>997</v>
      </c>
      <c r="F31" s="12">
        <v>100</v>
      </c>
      <c r="G31" s="14">
        <f>LevelDesign!S31</f>
        <v>400</v>
      </c>
      <c r="H31" s="12">
        <v>1600</v>
      </c>
      <c r="I31" s="12" t="s">
        <v>242</v>
      </c>
    </row>
    <row r="32" spans="1:12" x14ac:dyDescent="0.3">
      <c r="A32" s="12">
        <v>31</v>
      </c>
      <c r="B32" s="26" t="s">
        <v>0</v>
      </c>
      <c r="C32" s="12">
        <f>LevelDesign!P32</f>
        <v>65</v>
      </c>
      <c r="D32" s="14">
        <f>LevelDesign!Q32</f>
        <v>3171</v>
      </c>
      <c r="E32" s="14">
        <f>LevelDesign!R32</f>
        <v>1061</v>
      </c>
      <c r="F32" s="12">
        <v>100</v>
      </c>
      <c r="G32" s="14">
        <f>LevelDesign!S32</f>
        <v>426</v>
      </c>
      <c r="H32" s="12">
        <v>1600</v>
      </c>
      <c r="I32" s="12" t="s">
        <v>242</v>
      </c>
    </row>
    <row r="33" spans="1:9" x14ac:dyDescent="0.3">
      <c r="A33" s="12">
        <v>32</v>
      </c>
      <c r="B33" s="26" t="s">
        <v>2</v>
      </c>
      <c r="C33" s="12">
        <f>LevelDesign!P33</f>
        <v>67</v>
      </c>
      <c r="D33" s="14">
        <f>LevelDesign!Q33</f>
        <v>3369</v>
      </c>
      <c r="E33" s="14">
        <f>LevelDesign!R33</f>
        <v>1127</v>
      </c>
      <c r="F33" s="12">
        <v>100</v>
      </c>
      <c r="G33" s="14">
        <f>LevelDesign!S33</f>
        <v>452</v>
      </c>
      <c r="H33" s="12">
        <v>1600</v>
      </c>
      <c r="I33" s="12" t="s">
        <v>242</v>
      </c>
    </row>
    <row r="34" spans="1:9" x14ac:dyDescent="0.3">
      <c r="A34" s="12">
        <v>33</v>
      </c>
      <c r="B34" s="27" t="s">
        <v>1</v>
      </c>
      <c r="C34" s="12">
        <f>LevelDesign!P34</f>
        <v>70</v>
      </c>
      <c r="D34" s="14">
        <f>LevelDesign!Q34</f>
        <v>3677</v>
      </c>
      <c r="E34" s="14">
        <f>LevelDesign!R34</f>
        <v>1230</v>
      </c>
      <c r="F34" s="12">
        <v>100</v>
      </c>
      <c r="G34" s="14">
        <f>LevelDesign!S34</f>
        <v>493</v>
      </c>
      <c r="H34" s="12">
        <v>1600</v>
      </c>
      <c r="I34" s="12" t="s">
        <v>242</v>
      </c>
    </row>
    <row r="35" spans="1:9" x14ac:dyDescent="0.3">
      <c r="A35" s="12">
        <v>34</v>
      </c>
      <c r="B35" s="28" t="s">
        <v>100</v>
      </c>
      <c r="C35" s="12">
        <f>LevelDesign!P35</f>
        <v>72</v>
      </c>
      <c r="D35" s="14">
        <f>LevelDesign!Q35</f>
        <v>3890</v>
      </c>
      <c r="E35" s="14">
        <f>LevelDesign!R35</f>
        <v>1301</v>
      </c>
      <c r="F35" s="12">
        <v>100</v>
      </c>
      <c r="G35" s="14">
        <f>LevelDesign!S35</f>
        <v>521</v>
      </c>
      <c r="H35" s="12">
        <v>1600</v>
      </c>
      <c r="I35" s="12" t="s">
        <v>242</v>
      </c>
    </row>
    <row r="36" spans="1:9" x14ac:dyDescent="0.3">
      <c r="A36" s="12">
        <v>35</v>
      </c>
      <c r="B36" s="29" t="s">
        <v>263</v>
      </c>
      <c r="C36" s="12">
        <f>LevelDesign!P36</f>
        <v>74</v>
      </c>
      <c r="D36" s="14">
        <f>LevelDesign!Q36</f>
        <v>4109</v>
      </c>
      <c r="E36" s="14">
        <f>LevelDesign!R36</f>
        <v>1374</v>
      </c>
      <c r="F36" s="12">
        <v>100</v>
      </c>
      <c r="G36" s="14">
        <f>LevelDesign!S36</f>
        <v>551</v>
      </c>
      <c r="H36" s="12">
        <v>1600</v>
      </c>
      <c r="I36" s="12" t="s">
        <v>242</v>
      </c>
    </row>
    <row r="37" spans="1:9" x14ac:dyDescent="0.3">
      <c r="A37" s="12">
        <v>36</v>
      </c>
      <c r="B37" s="29" t="s">
        <v>264</v>
      </c>
      <c r="C37" s="12">
        <f>LevelDesign!P37</f>
        <v>76</v>
      </c>
      <c r="D37" s="14">
        <f>LevelDesign!Q37</f>
        <v>4334</v>
      </c>
      <c r="E37" s="14">
        <f>LevelDesign!R37</f>
        <v>1449</v>
      </c>
      <c r="F37" s="12">
        <v>100</v>
      </c>
      <c r="G37" s="14">
        <f>LevelDesign!S37</f>
        <v>581</v>
      </c>
      <c r="H37" s="12">
        <v>1600</v>
      </c>
      <c r="I37" s="12" t="s">
        <v>242</v>
      </c>
    </row>
    <row r="38" spans="1:9" x14ac:dyDescent="0.3">
      <c r="A38" s="12">
        <v>37</v>
      </c>
      <c r="B38" s="29" t="s">
        <v>103</v>
      </c>
      <c r="C38" s="12">
        <f>LevelDesign!P38</f>
        <v>78</v>
      </c>
      <c r="D38" s="14">
        <f>LevelDesign!Q38</f>
        <v>4565</v>
      </c>
      <c r="E38" s="14">
        <f>LevelDesign!R38</f>
        <v>1526</v>
      </c>
      <c r="F38" s="12">
        <v>100</v>
      </c>
      <c r="G38" s="14">
        <f>LevelDesign!S38</f>
        <v>611</v>
      </c>
      <c r="H38" s="12">
        <v>1600</v>
      </c>
      <c r="I38" s="12" t="s">
        <v>242</v>
      </c>
    </row>
    <row r="39" spans="1:9" x14ac:dyDescent="0.3">
      <c r="A39" s="12">
        <v>38</v>
      </c>
      <c r="B39" s="30" t="s">
        <v>265</v>
      </c>
      <c r="C39" s="12">
        <f>LevelDesign!P39</f>
        <v>80</v>
      </c>
      <c r="D39" s="14">
        <f>LevelDesign!Q39</f>
        <v>4802</v>
      </c>
      <c r="E39" s="14">
        <f>LevelDesign!R39</f>
        <v>1605</v>
      </c>
      <c r="F39" s="12">
        <v>100</v>
      </c>
      <c r="G39" s="14">
        <f>LevelDesign!S39</f>
        <v>643</v>
      </c>
      <c r="H39" s="12">
        <v>1600</v>
      </c>
      <c r="I39" s="12" t="s">
        <v>242</v>
      </c>
    </row>
    <row r="40" spans="1:9" x14ac:dyDescent="0.3">
      <c r="A40" s="12">
        <v>39</v>
      </c>
      <c r="B40" s="31" t="s">
        <v>357</v>
      </c>
      <c r="C40" s="12">
        <f>LevelDesign!P40</f>
        <v>83</v>
      </c>
      <c r="D40" s="14">
        <f>LevelDesign!Q40</f>
        <v>5169</v>
      </c>
      <c r="E40" s="14">
        <f>LevelDesign!R40</f>
        <v>1727</v>
      </c>
      <c r="F40" s="12">
        <v>100</v>
      </c>
      <c r="G40" s="14">
        <f>LevelDesign!S40</f>
        <v>692</v>
      </c>
      <c r="H40" s="12">
        <v>1600</v>
      </c>
      <c r="I40" s="12" t="s">
        <v>242</v>
      </c>
    </row>
    <row r="41" spans="1:9" x14ac:dyDescent="0.3">
      <c r="A41" s="12">
        <v>40</v>
      </c>
      <c r="B41" s="31" t="s">
        <v>266</v>
      </c>
      <c r="C41" s="12">
        <f>LevelDesign!P41</f>
        <v>85</v>
      </c>
      <c r="D41" s="14">
        <f>LevelDesign!Q41</f>
        <v>5421</v>
      </c>
      <c r="E41" s="14">
        <f>LevelDesign!R41</f>
        <v>1811</v>
      </c>
      <c r="F41" s="12">
        <v>100</v>
      </c>
      <c r="G41" s="14">
        <f>LevelDesign!S41</f>
        <v>726</v>
      </c>
      <c r="H41" s="12">
        <v>1600</v>
      </c>
      <c r="I41" s="12" t="s">
        <v>242</v>
      </c>
    </row>
    <row r="42" spans="1:9" x14ac:dyDescent="0.3">
      <c r="A42" s="12">
        <v>41</v>
      </c>
      <c r="B42" s="31" t="s">
        <v>358</v>
      </c>
      <c r="C42" s="12">
        <f>LevelDesign!P42</f>
        <v>87</v>
      </c>
      <c r="D42" s="14">
        <f>LevelDesign!Q42</f>
        <v>5679</v>
      </c>
      <c r="E42" s="14">
        <f>LevelDesign!R42</f>
        <v>1897</v>
      </c>
      <c r="F42" s="12">
        <v>100</v>
      </c>
      <c r="G42" s="14">
        <f>LevelDesign!S42</f>
        <v>760</v>
      </c>
      <c r="H42" s="12">
        <v>1600</v>
      </c>
      <c r="I42" s="12" t="s">
        <v>242</v>
      </c>
    </row>
    <row r="43" spans="1:9" x14ac:dyDescent="0.3">
      <c r="A43" s="12">
        <v>42</v>
      </c>
      <c r="B43" s="32" t="s">
        <v>269</v>
      </c>
      <c r="C43" s="12">
        <f>LevelDesign!P43</f>
        <v>89</v>
      </c>
      <c r="D43" s="14">
        <f>LevelDesign!Q43</f>
        <v>5943</v>
      </c>
      <c r="E43" s="14">
        <f>LevelDesign!R43</f>
        <v>1985</v>
      </c>
      <c r="F43" s="12">
        <v>100</v>
      </c>
      <c r="G43" s="14">
        <f>LevelDesign!S43</f>
        <v>795</v>
      </c>
      <c r="H43" s="12">
        <v>1600</v>
      </c>
      <c r="I43" s="12" t="s">
        <v>242</v>
      </c>
    </row>
    <row r="44" spans="1:9" x14ac:dyDescent="0.3">
      <c r="A44" s="12">
        <v>43</v>
      </c>
      <c r="B44" s="31" t="s">
        <v>270</v>
      </c>
      <c r="C44" s="12">
        <f>LevelDesign!P44</f>
        <v>91</v>
      </c>
      <c r="D44" s="14">
        <f>LevelDesign!Q44</f>
        <v>6213</v>
      </c>
      <c r="E44" s="14">
        <f>LevelDesign!R44</f>
        <v>2075</v>
      </c>
      <c r="F44" s="12">
        <v>100</v>
      </c>
      <c r="G44" s="14">
        <f>LevelDesign!S44</f>
        <v>831</v>
      </c>
      <c r="H44" s="12">
        <v>1600</v>
      </c>
      <c r="I44" s="12" t="s">
        <v>242</v>
      </c>
    </row>
    <row r="45" spans="1:9" x14ac:dyDescent="0.3">
      <c r="A45" s="12">
        <v>44</v>
      </c>
      <c r="B45" s="15" t="s">
        <v>271</v>
      </c>
      <c r="C45" s="12">
        <f>LevelDesign!P45</f>
        <v>93</v>
      </c>
      <c r="D45" s="14">
        <f>LevelDesign!Q45</f>
        <v>6489</v>
      </c>
      <c r="E45" s="14">
        <f>LevelDesign!R45</f>
        <v>2167</v>
      </c>
      <c r="F45" s="12">
        <v>100</v>
      </c>
      <c r="G45" s="14">
        <f>LevelDesign!S45</f>
        <v>868</v>
      </c>
      <c r="H45" s="12">
        <v>1600</v>
      </c>
      <c r="I45" s="12" t="s">
        <v>242</v>
      </c>
    </row>
    <row r="46" spans="1:9" x14ac:dyDescent="0.3">
      <c r="A46" s="12">
        <v>45</v>
      </c>
      <c r="B46" s="15" t="s">
        <v>272</v>
      </c>
      <c r="C46" s="12">
        <f>LevelDesign!P46</f>
        <v>95</v>
      </c>
      <c r="D46" s="14">
        <f>LevelDesign!Q46</f>
        <v>6771</v>
      </c>
      <c r="E46" s="14">
        <f>LevelDesign!R46</f>
        <v>2261</v>
      </c>
      <c r="F46" s="12">
        <v>100</v>
      </c>
      <c r="G46" s="14">
        <f>LevelDesign!S46</f>
        <v>906</v>
      </c>
      <c r="H46" s="12">
        <v>1600</v>
      </c>
      <c r="I46" s="12" t="s">
        <v>242</v>
      </c>
    </row>
    <row r="47" spans="1:9" x14ac:dyDescent="0.3">
      <c r="A47" s="12">
        <v>46</v>
      </c>
      <c r="B47" s="15" t="s">
        <v>273</v>
      </c>
      <c r="C47" s="12">
        <f>LevelDesign!P47</f>
        <v>97</v>
      </c>
      <c r="D47" s="14">
        <f>LevelDesign!Q47</f>
        <v>7059</v>
      </c>
      <c r="E47" s="14">
        <f>LevelDesign!R47</f>
        <v>2357</v>
      </c>
      <c r="F47" s="12">
        <v>100</v>
      </c>
      <c r="G47" s="14">
        <f>LevelDesign!S47</f>
        <v>944</v>
      </c>
      <c r="H47" s="12">
        <v>1600</v>
      </c>
      <c r="I47" s="12" t="s">
        <v>242</v>
      </c>
    </row>
    <row r="48" spans="1:9" x14ac:dyDescent="0.3">
      <c r="A48" s="12">
        <v>47</v>
      </c>
      <c r="B48" s="15" t="s">
        <v>274</v>
      </c>
      <c r="C48" s="12">
        <f>LevelDesign!P48</f>
        <v>99</v>
      </c>
      <c r="D48" s="14">
        <f>LevelDesign!Q48</f>
        <v>7353</v>
      </c>
      <c r="E48" s="14">
        <f>LevelDesign!R48</f>
        <v>2455</v>
      </c>
      <c r="F48" s="12">
        <v>100</v>
      </c>
      <c r="G48" s="14">
        <f>LevelDesign!S48</f>
        <v>983</v>
      </c>
      <c r="H48" s="12">
        <v>1600</v>
      </c>
      <c r="I48" s="12" t="s">
        <v>242</v>
      </c>
    </row>
    <row r="49" spans="1:20" x14ac:dyDescent="0.3">
      <c r="A49" s="12">
        <v>48</v>
      </c>
      <c r="B49" s="16" t="s">
        <v>275</v>
      </c>
      <c r="C49" s="12">
        <f>LevelDesign!P49</f>
        <v>101</v>
      </c>
      <c r="D49" s="14">
        <f>LevelDesign!Q49</f>
        <v>7653</v>
      </c>
      <c r="E49" s="14">
        <f>LevelDesign!R49</f>
        <v>2555</v>
      </c>
      <c r="F49" s="12">
        <v>100</v>
      </c>
      <c r="G49" s="14">
        <f>LevelDesign!S49</f>
        <v>1023</v>
      </c>
      <c r="H49" s="12">
        <v>1600</v>
      </c>
      <c r="I49" s="12" t="s">
        <v>242</v>
      </c>
    </row>
    <row r="50" spans="1:20" x14ac:dyDescent="0.3">
      <c r="A50" s="12">
        <v>49</v>
      </c>
      <c r="B50" s="17" t="s">
        <v>111</v>
      </c>
      <c r="C50" s="12">
        <f>LevelDesign!P50</f>
        <v>105</v>
      </c>
      <c r="D50" s="14">
        <f>LevelDesign!Q50</f>
        <v>8271</v>
      </c>
      <c r="E50" s="14">
        <f>LevelDesign!R50</f>
        <v>2761</v>
      </c>
      <c r="F50" s="12">
        <v>100</v>
      </c>
      <c r="G50" s="14">
        <f>LevelDesign!S50</f>
        <v>1106</v>
      </c>
      <c r="H50" s="12">
        <v>1600</v>
      </c>
      <c r="I50" s="12" t="s">
        <v>242</v>
      </c>
    </row>
    <row r="51" spans="1:20" x14ac:dyDescent="0.3">
      <c r="A51" s="12">
        <v>50</v>
      </c>
      <c r="B51" s="17" t="s">
        <v>113</v>
      </c>
      <c r="C51" s="12">
        <f>LevelDesign!P51</f>
        <v>110</v>
      </c>
      <c r="D51" s="14">
        <f>LevelDesign!Q51</f>
        <v>9077</v>
      </c>
      <c r="E51" s="14">
        <f>LevelDesign!R51</f>
        <v>3030</v>
      </c>
      <c r="F51" s="12">
        <v>100</v>
      </c>
      <c r="G51" s="14">
        <f>LevelDesign!S51</f>
        <v>1213</v>
      </c>
      <c r="H51" s="12">
        <v>1600</v>
      </c>
      <c r="I51" s="12" t="s">
        <v>242</v>
      </c>
    </row>
    <row r="52" spans="1:20" x14ac:dyDescent="0.3">
      <c r="A52" s="12">
        <v>51</v>
      </c>
      <c r="B52" s="17" t="s">
        <v>276</v>
      </c>
      <c r="C52" s="12">
        <f>LevelDesign!P52</f>
        <v>113</v>
      </c>
      <c r="D52" s="14">
        <f>LevelDesign!Q52</f>
        <v>9579</v>
      </c>
      <c r="E52" s="14">
        <f>LevelDesign!R52</f>
        <v>3197</v>
      </c>
      <c r="F52" s="12">
        <v>100</v>
      </c>
      <c r="G52" s="14">
        <f>LevelDesign!S52</f>
        <v>1280</v>
      </c>
      <c r="H52" s="12">
        <v>1600</v>
      </c>
      <c r="I52" s="12" t="s">
        <v>242</v>
      </c>
    </row>
    <row r="53" spans="1:20" x14ac:dyDescent="0.3">
      <c r="A53" s="12">
        <v>52</v>
      </c>
      <c r="B53" s="17" t="s">
        <v>277</v>
      </c>
      <c r="C53" s="12">
        <f>LevelDesign!P53</f>
        <v>115</v>
      </c>
      <c r="D53" s="14">
        <f>LevelDesign!Q53</f>
        <v>9921</v>
      </c>
      <c r="E53" s="14">
        <f>LevelDesign!R53</f>
        <v>3311</v>
      </c>
      <c r="F53" s="12">
        <v>100</v>
      </c>
      <c r="G53" s="14">
        <f>LevelDesign!S53</f>
        <v>1326</v>
      </c>
      <c r="H53" s="12">
        <v>1600</v>
      </c>
      <c r="I53" s="12" t="s">
        <v>242</v>
      </c>
    </row>
    <row r="54" spans="1:20" x14ac:dyDescent="0.3">
      <c r="A54" s="12">
        <v>53</v>
      </c>
      <c r="B54" s="17" t="s">
        <v>278</v>
      </c>
      <c r="C54" s="12">
        <f>LevelDesign!P54</f>
        <v>117</v>
      </c>
      <c r="D54" s="14">
        <f>LevelDesign!Q54</f>
        <v>10269</v>
      </c>
      <c r="E54" s="14">
        <f>LevelDesign!R54</f>
        <v>3427</v>
      </c>
      <c r="F54" s="12">
        <v>100</v>
      </c>
      <c r="G54" s="14">
        <f>LevelDesign!S54</f>
        <v>1372</v>
      </c>
      <c r="H54" s="12">
        <v>1600</v>
      </c>
      <c r="I54" s="12" t="s">
        <v>242</v>
      </c>
    </row>
    <row r="55" spans="1:20" x14ac:dyDescent="0.3">
      <c r="A55" s="12">
        <v>54</v>
      </c>
      <c r="B55" s="17" t="s">
        <v>116</v>
      </c>
      <c r="C55" s="12">
        <f>LevelDesign!P55</f>
        <v>118</v>
      </c>
      <c r="D55" s="14">
        <f>LevelDesign!Q55</f>
        <v>10445</v>
      </c>
      <c r="E55" s="14">
        <f>LevelDesign!R55</f>
        <v>3486</v>
      </c>
      <c r="F55" s="12">
        <v>100</v>
      </c>
      <c r="G55" s="14">
        <f>LevelDesign!S55</f>
        <v>1395</v>
      </c>
      <c r="H55" s="12">
        <v>1600</v>
      </c>
      <c r="I55" s="12" t="s">
        <v>242</v>
      </c>
      <c r="R55" s="3"/>
      <c r="S55" s="3"/>
      <c r="T55" s="5"/>
    </row>
    <row r="56" spans="1:20" x14ac:dyDescent="0.3">
      <c r="R56" s="3"/>
      <c r="S56" s="3"/>
      <c r="T56" s="5"/>
    </row>
    <row r="57" spans="1:20" x14ac:dyDescent="0.3">
      <c r="R57" s="3"/>
      <c r="S57" s="3"/>
      <c r="T57" s="5"/>
    </row>
    <row r="58" spans="1:20" x14ac:dyDescent="0.3">
      <c r="R58" s="3"/>
      <c r="S58" s="3"/>
      <c r="T58" s="5"/>
    </row>
    <row r="59" spans="1:20" x14ac:dyDescent="0.3">
      <c r="R59" s="3"/>
      <c r="S59" s="3"/>
      <c r="T59" s="5"/>
    </row>
    <row r="60" spans="1:20" x14ac:dyDescent="0.3">
      <c r="R60" s="3"/>
      <c r="S60" s="3"/>
      <c r="T60" s="5"/>
    </row>
    <row r="61" spans="1:20" x14ac:dyDescent="0.3">
      <c r="R61" s="3"/>
      <c r="S61" s="3"/>
      <c r="T61" s="5"/>
    </row>
    <row r="62" spans="1:20" x14ac:dyDescent="0.3">
      <c r="R62" s="3"/>
      <c r="S62" s="3"/>
      <c r="T62" s="5"/>
    </row>
    <row r="63" spans="1:20" x14ac:dyDescent="0.3">
      <c r="R63" s="3"/>
      <c r="S63" s="3"/>
      <c r="T63" s="5"/>
    </row>
    <row r="64" spans="1:20" x14ac:dyDescent="0.3">
      <c r="R64" s="3"/>
      <c r="S64" s="3"/>
      <c r="T64" s="5"/>
    </row>
  </sheetData>
  <phoneticPr fontId="2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F8A24-A7EB-4D81-9921-93ADFFEF9EEF}">
  <dimension ref="B1:T55"/>
  <sheetViews>
    <sheetView zoomScale="70" zoomScaleNormal="70" workbookViewId="0">
      <selection activeCell="K20" sqref="K20"/>
    </sheetView>
  </sheetViews>
  <sheetFormatPr defaultRowHeight="16.5" x14ac:dyDescent="0.3"/>
  <sheetData>
    <row r="1" spans="2:20" x14ac:dyDescent="0.3">
      <c r="B1" s="12" t="s">
        <v>219</v>
      </c>
      <c r="C1" s="12" t="s">
        <v>220</v>
      </c>
      <c r="D1" s="12" t="s">
        <v>230</v>
      </c>
      <c r="E1" s="12" t="s">
        <v>231</v>
      </c>
      <c r="F1" s="12" t="s">
        <v>232</v>
      </c>
      <c r="G1" s="12" t="s">
        <v>234</v>
      </c>
      <c r="H1" s="12" t="s">
        <v>339</v>
      </c>
      <c r="J1" t="s">
        <v>330</v>
      </c>
      <c r="K1" t="s">
        <v>331</v>
      </c>
      <c r="L1" t="s">
        <v>332</v>
      </c>
      <c r="M1" t="s">
        <v>333</v>
      </c>
      <c r="P1" t="s">
        <v>344</v>
      </c>
      <c r="Q1" t="s">
        <v>345</v>
      </c>
      <c r="R1" t="s">
        <v>346</v>
      </c>
      <c r="S1" t="s">
        <v>347</v>
      </c>
      <c r="T1" t="s">
        <v>338</v>
      </c>
    </row>
    <row r="2" spans="2:20" x14ac:dyDescent="0.3">
      <c r="B2" s="12">
        <v>1</v>
      </c>
      <c r="C2" s="12" t="s">
        <v>46</v>
      </c>
      <c r="D2" s="12">
        <v>1</v>
      </c>
      <c r="E2" s="3">
        <f>$J$4+(D2*(D2/$J$8)*$J$2)</f>
        <v>2.75</v>
      </c>
      <c r="F2" s="3">
        <f>$K$4+(D2*(D2/$K$8)*$K$2)</f>
        <v>5.25</v>
      </c>
      <c r="G2" s="3">
        <f>$L$4+(D2*(D2/$L$8)*$L$2)</f>
        <v>3.1</v>
      </c>
      <c r="H2" s="3">
        <f>$M$4+(D2*(D2/$M$8)*$M$2)</f>
        <v>5.2</v>
      </c>
      <c r="J2">
        <v>3</v>
      </c>
      <c r="K2">
        <v>0.5</v>
      </c>
      <c r="L2">
        <v>0.2</v>
      </c>
      <c r="M2">
        <v>10</v>
      </c>
      <c r="P2">
        <f>ROUND(D2,0)</f>
        <v>1</v>
      </c>
      <c r="Q2">
        <f>ROUND(E2,0)</f>
        <v>3</v>
      </c>
      <c r="R2">
        <f>ROUND(F2,0)</f>
        <v>5</v>
      </c>
      <c r="S2">
        <f>ROUND(G2,0)</f>
        <v>3</v>
      </c>
      <c r="T2">
        <f>ROUND(H2,0)</f>
        <v>5</v>
      </c>
    </row>
    <row r="3" spans="2:20" x14ac:dyDescent="0.3">
      <c r="B3" s="12">
        <v>2</v>
      </c>
      <c r="C3" s="12" t="s">
        <v>243</v>
      </c>
      <c r="D3" s="12">
        <v>3</v>
      </c>
      <c r="E3" s="3">
        <f>$J$4+(D3*(D3/$J$8)*$J$2)</f>
        <v>8.75</v>
      </c>
      <c r="F3" s="3">
        <f t="shared" ref="F3:F50" si="0">$K$4+(D3*(D3/$K$8)*$K$2)</f>
        <v>7.25</v>
      </c>
      <c r="G3" s="3">
        <f t="shared" ref="G3:G50" si="1">$L$4+(D3*(D3/$L$8)*$L$2)</f>
        <v>3.9</v>
      </c>
      <c r="H3" s="3">
        <f>$M$4+(D3*(D3/$M$8)*$M$2)</f>
        <v>6.8</v>
      </c>
      <c r="J3" t="s">
        <v>334</v>
      </c>
      <c r="K3" t="s">
        <v>335</v>
      </c>
      <c r="L3" t="s">
        <v>336</v>
      </c>
      <c r="M3" t="s">
        <v>337</v>
      </c>
      <c r="P3">
        <f t="shared" ref="P3:P54" si="2">ROUND(D3,0)</f>
        <v>3</v>
      </c>
      <c r="Q3">
        <f t="shared" ref="Q3:Q50" si="3">ROUND(E3,0)</f>
        <v>9</v>
      </c>
      <c r="R3">
        <f t="shared" ref="R3:R50" si="4">ROUND(F3,0)</f>
        <v>7</v>
      </c>
      <c r="S3">
        <f t="shared" ref="S3:S50" si="5">ROUND(G3,0)</f>
        <v>4</v>
      </c>
      <c r="T3">
        <f t="shared" ref="T3:T50" si="6">ROUND(H3,0)</f>
        <v>7</v>
      </c>
    </row>
    <row r="4" spans="2:20" x14ac:dyDescent="0.3">
      <c r="B4" s="12">
        <v>3</v>
      </c>
      <c r="C4" s="12" t="s">
        <v>244</v>
      </c>
      <c r="D4" s="12">
        <v>5</v>
      </c>
      <c r="E4" s="3">
        <f t="shared" ref="E4:E51" si="7">$J$4+(D4*(D4/$J$8)*$J$2)</f>
        <v>20.75</v>
      </c>
      <c r="F4" s="3">
        <f t="shared" si="0"/>
        <v>11.25</v>
      </c>
      <c r="G4" s="3">
        <f t="shared" si="1"/>
        <v>5.5</v>
      </c>
      <c r="H4" s="3">
        <f t="shared" ref="H4:H50" si="8">$M$4+(D4*(D4/$M$8)*$M$2)</f>
        <v>10</v>
      </c>
      <c r="J4">
        <v>2</v>
      </c>
      <c r="K4">
        <v>5</v>
      </c>
      <c r="L4">
        <v>3</v>
      </c>
      <c r="M4">
        <v>5</v>
      </c>
      <c r="P4">
        <f t="shared" si="2"/>
        <v>5</v>
      </c>
      <c r="Q4">
        <f t="shared" si="3"/>
        <v>21</v>
      </c>
      <c r="R4">
        <f t="shared" si="4"/>
        <v>11</v>
      </c>
      <c r="S4">
        <f t="shared" si="5"/>
        <v>6</v>
      </c>
      <c r="T4">
        <f t="shared" si="6"/>
        <v>10</v>
      </c>
    </row>
    <row r="5" spans="2:20" x14ac:dyDescent="0.3">
      <c r="B5" s="13">
        <v>4</v>
      </c>
      <c r="C5" s="13" t="s">
        <v>245</v>
      </c>
      <c r="D5" s="12">
        <v>7</v>
      </c>
      <c r="E5" s="3">
        <f t="shared" si="7"/>
        <v>38.75</v>
      </c>
      <c r="F5" s="3">
        <f t="shared" si="0"/>
        <v>17.25</v>
      </c>
      <c r="G5" s="3">
        <f t="shared" si="1"/>
        <v>7.9</v>
      </c>
      <c r="H5" s="3">
        <f t="shared" si="8"/>
        <v>14.8</v>
      </c>
      <c r="P5">
        <f t="shared" si="2"/>
        <v>7</v>
      </c>
      <c r="Q5">
        <f t="shared" si="3"/>
        <v>39</v>
      </c>
      <c r="R5">
        <f t="shared" si="4"/>
        <v>17</v>
      </c>
      <c r="S5">
        <f t="shared" si="5"/>
        <v>8</v>
      </c>
      <c r="T5">
        <f t="shared" si="6"/>
        <v>15</v>
      </c>
    </row>
    <row r="6" spans="2:20" x14ac:dyDescent="0.3">
      <c r="B6" s="13">
        <v>5</v>
      </c>
      <c r="C6" s="13" t="s">
        <v>246</v>
      </c>
      <c r="D6" s="12">
        <v>9</v>
      </c>
      <c r="E6" s="3">
        <f t="shared" si="7"/>
        <v>62.75</v>
      </c>
      <c r="F6" s="3">
        <f t="shared" si="0"/>
        <v>25.25</v>
      </c>
      <c r="G6" s="3">
        <f t="shared" si="1"/>
        <v>11.1</v>
      </c>
      <c r="H6" s="3">
        <f t="shared" si="8"/>
        <v>21.2</v>
      </c>
      <c r="P6">
        <f t="shared" si="2"/>
        <v>9</v>
      </c>
      <c r="Q6">
        <f t="shared" si="3"/>
        <v>63</v>
      </c>
      <c r="R6">
        <f t="shared" si="4"/>
        <v>25</v>
      </c>
      <c r="S6">
        <f t="shared" si="5"/>
        <v>11</v>
      </c>
      <c r="T6">
        <f t="shared" si="6"/>
        <v>21</v>
      </c>
    </row>
    <row r="7" spans="2:20" x14ac:dyDescent="0.3">
      <c r="B7" s="13">
        <v>6</v>
      </c>
      <c r="C7" s="13" t="s">
        <v>247</v>
      </c>
      <c r="D7" s="12">
        <v>13</v>
      </c>
      <c r="E7" s="3">
        <f t="shared" si="7"/>
        <v>128.75</v>
      </c>
      <c r="F7" s="3">
        <f t="shared" si="0"/>
        <v>47.25</v>
      </c>
      <c r="G7" s="3">
        <f t="shared" si="1"/>
        <v>19.900000000000002</v>
      </c>
      <c r="H7" s="3">
        <f t="shared" si="8"/>
        <v>38.799999999999997</v>
      </c>
      <c r="J7" t="s">
        <v>340</v>
      </c>
      <c r="K7" t="s">
        <v>341</v>
      </c>
      <c r="L7" t="s">
        <v>342</v>
      </c>
      <c r="M7" t="s">
        <v>343</v>
      </c>
      <c r="P7">
        <f t="shared" si="2"/>
        <v>13</v>
      </c>
      <c r="Q7">
        <f t="shared" si="3"/>
        <v>129</v>
      </c>
      <c r="R7">
        <f t="shared" si="4"/>
        <v>47</v>
      </c>
      <c r="S7">
        <f t="shared" si="5"/>
        <v>20</v>
      </c>
      <c r="T7">
        <f t="shared" si="6"/>
        <v>39</v>
      </c>
    </row>
    <row r="8" spans="2:20" x14ac:dyDescent="0.3">
      <c r="B8" s="13">
        <v>7</v>
      </c>
      <c r="C8" s="13" t="s">
        <v>84</v>
      </c>
      <c r="D8" s="12">
        <v>15</v>
      </c>
      <c r="E8" s="3">
        <f t="shared" si="7"/>
        <v>170.75</v>
      </c>
      <c r="F8" s="3">
        <f t="shared" si="0"/>
        <v>61.25</v>
      </c>
      <c r="G8" s="3">
        <f t="shared" si="1"/>
        <v>25.5</v>
      </c>
      <c r="H8" s="3">
        <f t="shared" si="8"/>
        <v>50</v>
      </c>
      <c r="J8">
        <v>4</v>
      </c>
      <c r="K8">
        <v>2</v>
      </c>
      <c r="L8">
        <v>2</v>
      </c>
      <c r="M8">
        <v>50</v>
      </c>
      <c r="P8">
        <f t="shared" si="2"/>
        <v>15</v>
      </c>
      <c r="Q8">
        <f t="shared" si="3"/>
        <v>171</v>
      </c>
      <c r="R8">
        <f t="shared" si="4"/>
        <v>61</v>
      </c>
      <c r="S8">
        <f t="shared" si="5"/>
        <v>26</v>
      </c>
      <c r="T8">
        <f t="shared" si="6"/>
        <v>50</v>
      </c>
    </row>
    <row r="9" spans="2:20" x14ac:dyDescent="0.3">
      <c r="B9" s="13">
        <v>8</v>
      </c>
      <c r="C9" s="13" t="s">
        <v>252</v>
      </c>
      <c r="D9" s="12">
        <v>17</v>
      </c>
      <c r="E9" s="3">
        <f t="shared" si="7"/>
        <v>218.75</v>
      </c>
      <c r="F9" s="3">
        <f t="shared" si="0"/>
        <v>77.25</v>
      </c>
      <c r="G9" s="3">
        <f t="shared" si="1"/>
        <v>31.900000000000002</v>
      </c>
      <c r="H9" s="3">
        <f t="shared" si="8"/>
        <v>62.800000000000004</v>
      </c>
      <c r="P9">
        <f t="shared" si="2"/>
        <v>17</v>
      </c>
      <c r="Q9">
        <f t="shared" si="3"/>
        <v>219</v>
      </c>
      <c r="R9">
        <f t="shared" si="4"/>
        <v>77</v>
      </c>
      <c r="S9">
        <f t="shared" si="5"/>
        <v>32</v>
      </c>
      <c r="T9">
        <f t="shared" si="6"/>
        <v>63</v>
      </c>
    </row>
    <row r="10" spans="2:20" x14ac:dyDescent="0.3">
      <c r="B10" s="13">
        <v>9</v>
      </c>
      <c r="C10" s="13" t="s">
        <v>348</v>
      </c>
      <c r="D10" s="12">
        <v>19</v>
      </c>
      <c r="E10" s="3">
        <f t="shared" si="7"/>
        <v>272.75</v>
      </c>
      <c r="F10" s="3">
        <f t="shared" si="0"/>
        <v>95.25</v>
      </c>
      <c r="G10" s="3">
        <f t="shared" si="1"/>
        <v>39.1</v>
      </c>
      <c r="H10" s="3">
        <f t="shared" si="8"/>
        <v>77.2</v>
      </c>
      <c r="P10">
        <f t="shared" si="2"/>
        <v>19</v>
      </c>
      <c r="Q10">
        <f t="shared" si="3"/>
        <v>273</v>
      </c>
      <c r="R10">
        <f t="shared" si="4"/>
        <v>95</v>
      </c>
      <c r="S10">
        <f t="shared" si="5"/>
        <v>39</v>
      </c>
      <c r="T10">
        <f t="shared" si="6"/>
        <v>77</v>
      </c>
    </row>
    <row r="11" spans="2:20" x14ac:dyDescent="0.3">
      <c r="B11" s="13">
        <v>10</v>
      </c>
      <c r="C11" s="13" t="s">
        <v>253</v>
      </c>
      <c r="D11" s="12">
        <v>23</v>
      </c>
      <c r="E11" s="3">
        <f t="shared" si="7"/>
        <v>398.75</v>
      </c>
      <c r="F11" s="3">
        <f t="shared" si="0"/>
        <v>137.25</v>
      </c>
      <c r="G11" s="3">
        <f t="shared" si="1"/>
        <v>55.900000000000006</v>
      </c>
      <c r="H11" s="3">
        <f t="shared" si="8"/>
        <v>110.8</v>
      </c>
      <c r="P11">
        <f t="shared" si="2"/>
        <v>23</v>
      </c>
      <c r="Q11">
        <f t="shared" si="3"/>
        <v>399</v>
      </c>
      <c r="R11">
        <f t="shared" si="4"/>
        <v>137</v>
      </c>
      <c r="S11">
        <f t="shared" si="5"/>
        <v>56</v>
      </c>
      <c r="T11">
        <f t="shared" si="6"/>
        <v>111</v>
      </c>
    </row>
    <row r="12" spans="2:20" x14ac:dyDescent="0.3">
      <c r="B12" s="13">
        <v>11</v>
      </c>
      <c r="C12" s="13" t="s">
        <v>248</v>
      </c>
      <c r="D12" s="12">
        <v>25</v>
      </c>
      <c r="E12" s="3">
        <f t="shared" si="7"/>
        <v>470.75</v>
      </c>
      <c r="F12" s="3">
        <f t="shared" si="0"/>
        <v>161.25</v>
      </c>
      <c r="G12" s="3">
        <f t="shared" si="1"/>
        <v>65.5</v>
      </c>
      <c r="H12" s="3">
        <f t="shared" si="8"/>
        <v>130</v>
      </c>
      <c r="P12">
        <f t="shared" si="2"/>
        <v>25</v>
      </c>
      <c r="Q12">
        <f t="shared" si="3"/>
        <v>471</v>
      </c>
      <c r="R12">
        <f t="shared" si="4"/>
        <v>161</v>
      </c>
      <c r="S12">
        <f t="shared" si="5"/>
        <v>66</v>
      </c>
      <c r="T12">
        <f t="shared" si="6"/>
        <v>130</v>
      </c>
    </row>
    <row r="13" spans="2:20" x14ac:dyDescent="0.3">
      <c r="B13" s="13">
        <v>12</v>
      </c>
      <c r="C13" s="13" t="s">
        <v>249</v>
      </c>
      <c r="D13" s="12">
        <v>27</v>
      </c>
      <c r="E13" s="3">
        <f t="shared" si="7"/>
        <v>548.75</v>
      </c>
      <c r="F13" s="3">
        <f t="shared" si="0"/>
        <v>187.25</v>
      </c>
      <c r="G13" s="3">
        <f t="shared" si="1"/>
        <v>75.900000000000006</v>
      </c>
      <c r="H13" s="3">
        <f t="shared" si="8"/>
        <v>150.80000000000001</v>
      </c>
      <c r="P13">
        <f t="shared" si="2"/>
        <v>27</v>
      </c>
      <c r="Q13">
        <f t="shared" si="3"/>
        <v>549</v>
      </c>
      <c r="R13">
        <f t="shared" si="4"/>
        <v>187</v>
      </c>
      <c r="S13">
        <f t="shared" si="5"/>
        <v>76</v>
      </c>
      <c r="T13">
        <f t="shared" si="6"/>
        <v>151</v>
      </c>
    </row>
    <row r="14" spans="2:20" x14ac:dyDescent="0.3">
      <c r="B14" s="13">
        <v>13</v>
      </c>
      <c r="C14" s="13" t="s">
        <v>250</v>
      </c>
      <c r="D14" s="12">
        <v>29</v>
      </c>
      <c r="E14" s="3">
        <f t="shared" si="7"/>
        <v>632.75</v>
      </c>
      <c r="F14" s="3">
        <f t="shared" si="0"/>
        <v>215.25</v>
      </c>
      <c r="G14" s="3">
        <f t="shared" si="1"/>
        <v>87.100000000000009</v>
      </c>
      <c r="H14" s="3">
        <f t="shared" si="8"/>
        <v>173.2</v>
      </c>
      <c r="P14">
        <f t="shared" si="2"/>
        <v>29</v>
      </c>
      <c r="Q14">
        <f t="shared" si="3"/>
        <v>633</v>
      </c>
      <c r="R14">
        <f t="shared" si="4"/>
        <v>215</v>
      </c>
      <c r="S14">
        <f t="shared" si="5"/>
        <v>87</v>
      </c>
      <c r="T14">
        <f t="shared" si="6"/>
        <v>173</v>
      </c>
    </row>
    <row r="15" spans="2:20" x14ac:dyDescent="0.3">
      <c r="B15" s="13">
        <v>14</v>
      </c>
      <c r="C15" s="13" t="s">
        <v>251</v>
      </c>
      <c r="D15" s="12">
        <v>33</v>
      </c>
      <c r="E15" s="3">
        <f t="shared" si="7"/>
        <v>818.75</v>
      </c>
      <c r="F15" s="3">
        <f t="shared" si="0"/>
        <v>277.25</v>
      </c>
      <c r="G15" s="3">
        <f t="shared" si="1"/>
        <v>111.9</v>
      </c>
      <c r="H15" s="3">
        <f t="shared" si="8"/>
        <v>222.8</v>
      </c>
      <c r="P15">
        <f t="shared" si="2"/>
        <v>33</v>
      </c>
      <c r="Q15">
        <f t="shared" si="3"/>
        <v>819</v>
      </c>
      <c r="R15">
        <f t="shared" si="4"/>
        <v>277</v>
      </c>
      <c r="S15">
        <f t="shared" si="5"/>
        <v>112</v>
      </c>
      <c r="T15">
        <f t="shared" si="6"/>
        <v>223</v>
      </c>
    </row>
    <row r="16" spans="2:20" x14ac:dyDescent="0.3">
      <c r="D16" s="12">
        <v>35</v>
      </c>
      <c r="E16" s="3">
        <f t="shared" si="7"/>
        <v>920.75</v>
      </c>
      <c r="F16" s="3">
        <f t="shared" si="0"/>
        <v>311.25</v>
      </c>
      <c r="G16" s="3">
        <f t="shared" si="1"/>
        <v>125.5</v>
      </c>
      <c r="H16" s="3">
        <f t="shared" si="8"/>
        <v>250</v>
      </c>
      <c r="P16">
        <f t="shared" si="2"/>
        <v>35</v>
      </c>
      <c r="Q16">
        <f t="shared" si="3"/>
        <v>921</v>
      </c>
      <c r="R16">
        <f t="shared" si="4"/>
        <v>311</v>
      </c>
      <c r="S16">
        <f t="shared" si="5"/>
        <v>126</v>
      </c>
      <c r="T16">
        <f t="shared" si="6"/>
        <v>250</v>
      </c>
    </row>
    <row r="17" spans="2:20" x14ac:dyDescent="0.3">
      <c r="D17" s="12">
        <v>37</v>
      </c>
      <c r="E17" s="3">
        <f t="shared" si="7"/>
        <v>1028.75</v>
      </c>
      <c r="F17" s="3">
        <f t="shared" si="0"/>
        <v>347.25</v>
      </c>
      <c r="G17" s="3">
        <f t="shared" si="1"/>
        <v>139.9</v>
      </c>
      <c r="H17" s="3">
        <f t="shared" si="8"/>
        <v>278.8</v>
      </c>
      <c r="P17">
        <f t="shared" si="2"/>
        <v>37</v>
      </c>
      <c r="Q17">
        <f t="shared" si="3"/>
        <v>1029</v>
      </c>
      <c r="R17">
        <f t="shared" si="4"/>
        <v>347</v>
      </c>
      <c r="S17">
        <f t="shared" si="5"/>
        <v>140</v>
      </c>
      <c r="T17">
        <f t="shared" si="6"/>
        <v>279</v>
      </c>
    </row>
    <row r="18" spans="2:20" x14ac:dyDescent="0.3">
      <c r="B18" s="13">
        <v>15</v>
      </c>
      <c r="C18" s="13" t="s">
        <v>254</v>
      </c>
      <c r="D18" s="12">
        <v>39</v>
      </c>
      <c r="E18" s="3">
        <f t="shared" si="7"/>
        <v>1142.75</v>
      </c>
      <c r="F18" s="3">
        <f t="shared" si="0"/>
        <v>385.25</v>
      </c>
      <c r="G18" s="3">
        <f t="shared" si="1"/>
        <v>155.1</v>
      </c>
      <c r="H18" s="3">
        <f t="shared" si="8"/>
        <v>309.20000000000005</v>
      </c>
      <c r="P18">
        <f t="shared" si="2"/>
        <v>39</v>
      </c>
      <c r="Q18">
        <f t="shared" si="3"/>
        <v>1143</v>
      </c>
      <c r="R18">
        <f t="shared" si="4"/>
        <v>385</v>
      </c>
      <c r="S18">
        <f t="shared" si="5"/>
        <v>155</v>
      </c>
      <c r="T18">
        <f t="shared" si="6"/>
        <v>309</v>
      </c>
    </row>
    <row r="19" spans="2:20" x14ac:dyDescent="0.3">
      <c r="B19" s="13">
        <v>16</v>
      </c>
      <c r="C19" s="13" t="s">
        <v>256</v>
      </c>
      <c r="D19" s="12">
        <v>43</v>
      </c>
      <c r="E19" s="3">
        <f t="shared" si="7"/>
        <v>1388.75</v>
      </c>
      <c r="F19" s="3">
        <f t="shared" si="0"/>
        <v>467.25</v>
      </c>
      <c r="G19" s="3">
        <f t="shared" si="1"/>
        <v>187.9</v>
      </c>
      <c r="H19" s="3">
        <f t="shared" si="8"/>
        <v>374.79999999999995</v>
      </c>
      <c r="P19">
        <f t="shared" si="2"/>
        <v>43</v>
      </c>
      <c r="Q19">
        <f t="shared" si="3"/>
        <v>1389</v>
      </c>
      <c r="R19">
        <f t="shared" si="4"/>
        <v>467</v>
      </c>
      <c r="S19">
        <f t="shared" si="5"/>
        <v>188</v>
      </c>
      <c r="T19">
        <f t="shared" si="6"/>
        <v>375</v>
      </c>
    </row>
    <row r="20" spans="2:20" x14ac:dyDescent="0.3">
      <c r="B20" s="13">
        <v>17</v>
      </c>
      <c r="C20" s="13" t="s">
        <v>255</v>
      </c>
      <c r="D20" s="12">
        <v>43</v>
      </c>
      <c r="E20" s="3">
        <f t="shared" si="7"/>
        <v>1388.75</v>
      </c>
      <c r="F20" s="3">
        <f t="shared" si="0"/>
        <v>467.25</v>
      </c>
      <c r="G20" s="3">
        <f t="shared" si="1"/>
        <v>187.9</v>
      </c>
      <c r="H20" s="3">
        <f t="shared" si="8"/>
        <v>374.79999999999995</v>
      </c>
      <c r="P20">
        <f t="shared" si="2"/>
        <v>43</v>
      </c>
      <c r="Q20">
        <f t="shared" si="3"/>
        <v>1389</v>
      </c>
      <c r="R20">
        <f t="shared" si="4"/>
        <v>467</v>
      </c>
      <c r="S20">
        <f t="shared" si="5"/>
        <v>188</v>
      </c>
      <c r="T20">
        <f t="shared" si="6"/>
        <v>375</v>
      </c>
    </row>
    <row r="21" spans="2:20" x14ac:dyDescent="0.3">
      <c r="B21" s="13">
        <v>18</v>
      </c>
      <c r="C21" s="13" t="s">
        <v>257</v>
      </c>
      <c r="D21" s="12">
        <v>45</v>
      </c>
      <c r="E21" s="3">
        <f t="shared" si="7"/>
        <v>1520.75</v>
      </c>
      <c r="F21" s="3">
        <f t="shared" si="0"/>
        <v>511.25</v>
      </c>
      <c r="G21" s="3">
        <f t="shared" si="1"/>
        <v>205.5</v>
      </c>
      <c r="H21" s="3">
        <f t="shared" si="8"/>
        <v>410</v>
      </c>
      <c r="P21">
        <f t="shared" si="2"/>
        <v>45</v>
      </c>
      <c r="Q21">
        <f t="shared" si="3"/>
        <v>1521</v>
      </c>
      <c r="R21">
        <f t="shared" si="4"/>
        <v>511</v>
      </c>
      <c r="S21">
        <f t="shared" si="5"/>
        <v>206</v>
      </c>
      <c r="T21">
        <f t="shared" si="6"/>
        <v>410</v>
      </c>
    </row>
    <row r="22" spans="2:20" x14ac:dyDescent="0.3">
      <c r="B22" s="13">
        <v>19</v>
      </c>
      <c r="C22" s="13" t="s">
        <v>262</v>
      </c>
      <c r="D22" s="12">
        <v>47</v>
      </c>
      <c r="E22" s="3">
        <f t="shared" si="7"/>
        <v>1658.75</v>
      </c>
      <c r="F22" s="3">
        <f t="shared" si="0"/>
        <v>557.25</v>
      </c>
      <c r="G22" s="3">
        <f t="shared" si="1"/>
        <v>223.9</v>
      </c>
      <c r="H22" s="3">
        <f t="shared" si="8"/>
        <v>446.8</v>
      </c>
      <c r="P22">
        <f t="shared" si="2"/>
        <v>47</v>
      </c>
      <c r="Q22">
        <f t="shared" si="3"/>
        <v>1659</v>
      </c>
      <c r="R22">
        <f t="shared" si="4"/>
        <v>557</v>
      </c>
      <c r="S22">
        <f t="shared" si="5"/>
        <v>224</v>
      </c>
      <c r="T22">
        <f t="shared" si="6"/>
        <v>447</v>
      </c>
    </row>
    <row r="23" spans="2:20" x14ac:dyDescent="0.3">
      <c r="B23" s="13">
        <v>20</v>
      </c>
      <c r="C23" s="13" t="s">
        <v>258</v>
      </c>
      <c r="D23" s="12">
        <v>49</v>
      </c>
      <c r="E23" s="3">
        <f t="shared" si="7"/>
        <v>1802.75</v>
      </c>
      <c r="F23" s="3">
        <f t="shared" si="0"/>
        <v>605.25</v>
      </c>
      <c r="G23" s="3">
        <f t="shared" si="1"/>
        <v>243.10000000000002</v>
      </c>
      <c r="H23" s="3">
        <f t="shared" si="8"/>
        <v>485.19999999999993</v>
      </c>
      <c r="P23">
        <f t="shared" si="2"/>
        <v>49</v>
      </c>
      <c r="Q23">
        <f t="shared" si="3"/>
        <v>1803</v>
      </c>
      <c r="R23">
        <f t="shared" si="4"/>
        <v>605</v>
      </c>
      <c r="S23">
        <f t="shared" si="5"/>
        <v>243</v>
      </c>
      <c r="T23">
        <f t="shared" si="6"/>
        <v>485</v>
      </c>
    </row>
    <row r="24" spans="2:20" x14ac:dyDescent="0.3">
      <c r="B24" s="13">
        <v>21</v>
      </c>
      <c r="C24" s="13" t="s">
        <v>20</v>
      </c>
      <c r="D24" s="12">
        <v>51</v>
      </c>
      <c r="E24" s="3">
        <f t="shared" si="7"/>
        <v>1952.75</v>
      </c>
      <c r="F24" s="3">
        <f t="shared" si="0"/>
        <v>655.25</v>
      </c>
      <c r="G24" s="3">
        <f t="shared" si="1"/>
        <v>263.10000000000002</v>
      </c>
      <c r="H24" s="3">
        <f t="shared" si="8"/>
        <v>525.20000000000005</v>
      </c>
      <c r="P24">
        <f t="shared" si="2"/>
        <v>51</v>
      </c>
      <c r="Q24">
        <f t="shared" si="3"/>
        <v>1953</v>
      </c>
      <c r="R24">
        <f t="shared" si="4"/>
        <v>655</v>
      </c>
      <c r="S24">
        <f t="shared" si="5"/>
        <v>263</v>
      </c>
      <c r="T24">
        <f t="shared" si="6"/>
        <v>525</v>
      </c>
    </row>
    <row r="25" spans="2:20" x14ac:dyDescent="0.3">
      <c r="B25" s="13">
        <v>22</v>
      </c>
      <c r="C25" s="13" t="s">
        <v>259</v>
      </c>
      <c r="D25" s="12">
        <v>51</v>
      </c>
      <c r="E25" s="3">
        <f t="shared" si="7"/>
        <v>1952.75</v>
      </c>
      <c r="F25" s="3">
        <f t="shared" si="0"/>
        <v>655.25</v>
      </c>
      <c r="G25" s="3">
        <f t="shared" si="1"/>
        <v>263.10000000000002</v>
      </c>
      <c r="H25" s="3">
        <f t="shared" si="8"/>
        <v>525.20000000000005</v>
      </c>
      <c r="P25">
        <f t="shared" si="2"/>
        <v>51</v>
      </c>
      <c r="Q25">
        <f t="shared" si="3"/>
        <v>1953</v>
      </c>
      <c r="R25">
        <f t="shared" si="4"/>
        <v>655</v>
      </c>
      <c r="S25">
        <f t="shared" si="5"/>
        <v>263</v>
      </c>
      <c r="T25">
        <f t="shared" si="6"/>
        <v>525</v>
      </c>
    </row>
    <row r="26" spans="2:20" x14ac:dyDescent="0.3">
      <c r="B26" s="13">
        <v>23</v>
      </c>
      <c r="C26" s="13" t="s">
        <v>260</v>
      </c>
      <c r="D26" s="12">
        <v>54</v>
      </c>
      <c r="E26" s="3">
        <f t="shared" si="7"/>
        <v>2189</v>
      </c>
      <c r="F26" s="3">
        <f t="shared" si="0"/>
        <v>734</v>
      </c>
      <c r="G26" s="3">
        <f t="shared" si="1"/>
        <v>294.60000000000002</v>
      </c>
      <c r="H26" s="3">
        <f t="shared" si="8"/>
        <v>588.20000000000005</v>
      </c>
      <c r="P26">
        <f t="shared" si="2"/>
        <v>54</v>
      </c>
      <c r="Q26">
        <f t="shared" si="3"/>
        <v>2189</v>
      </c>
      <c r="R26">
        <f t="shared" si="4"/>
        <v>734</v>
      </c>
      <c r="S26">
        <f t="shared" si="5"/>
        <v>295</v>
      </c>
      <c r="T26">
        <f t="shared" si="6"/>
        <v>588</v>
      </c>
    </row>
    <row r="27" spans="2:20" x14ac:dyDescent="0.3">
      <c r="B27" s="13">
        <v>24</v>
      </c>
      <c r="C27" s="13" t="s">
        <v>21</v>
      </c>
      <c r="D27" s="12">
        <v>56</v>
      </c>
      <c r="E27" s="3">
        <f t="shared" si="7"/>
        <v>2354</v>
      </c>
      <c r="F27" s="3">
        <f t="shared" si="0"/>
        <v>789</v>
      </c>
      <c r="G27" s="3">
        <f t="shared" si="1"/>
        <v>316.60000000000002</v>
      </c>
      <c r="H27" s="3">
        <f t="shared" si="8"/>
        <v>632.20000000000005</v>
      </c>
      <c r="P27">
        <f t="shared" si="2"/>
        <v>56</v>
      </c>
      <c r="Q27">
        <f t="shared" si="3"/>
        <v>2354</v>
      </c>
      <c r="R27">
        <f t="shared" si="4"/>
        <v>789</v>
      </c>
      <c r="S27">
        <f t="shared" si="5"/>
        <v>317</v>
      </c>
      <c r="T27">
        <f t="shared" si="6"/>
        <v>632</v>
      </c>
    </row>
    <row r="28" spans="2:20" x14ac:dyDescent="0.3">
      <c r="B28" s="13">
        <v>25</v>
      </c>
      <c r="C28" s="13" t="s">
        <v>261</v>
      </c>
      <c r="D28" s="12">
        <v>57</v>
      </c>
      <c r="E28" s="3">
        <f t="shared" si="7"/>
        <v>2438.75</v>
      </c>
      <c r="F28" s="3">
        <f t="shared" si="0"/>
        <v>817.25</v>
      </c>
      <c r="G28" s="3">
        <f t="shared" si="1"/>
        <v>327.90000000000003</v>
      </c>
      <c r="H28" s="3">
        <f t="shared" si="8"/>
        <v>654.79999999999995</v>
      </c>
      <c r="P28">
        <f t="shared" si="2"/>
        <v>57</v>
      </c>
      <c r="Q28">
        <f t="shared" si="3"/>
        <v>2439</v>
      </c>
      <c r="R28">
        <f t="shared" si="4"/>
        <v>817</v>
      </c>
      <c r="S28">
        <f t="shared" si="5"/>
        <v>328</v>
      </c>
      <c r="T28">
        <f t="shared" si="6"/>
        <v>655</v>
      </c>
    </row>
    <row r="29" spans="2:20" x14ac:dyDescent="0.3">
      <c r="B29" s="13">
        <v>26</v>
      </c>
      <c r="C29" s="13" t="s">
        <v>26</v>
      </c>
      <c r="D29" s="12">
        <v>59</v>
      </c>
      <c r="E29" s="3">
        <f t="shared" si="7"/>
        <v>2612.75</v>
      </c>
      <c r="F29" s="3">
        <f t="shared" si="0"/>
        <v>875.25</v>
      </c>
      <c r="G29" s="3">
        <f t="shared" si="1"/>
        <v>351.1</v>
      </c>
      <c r="H29" s="3">
        <f t="shared" si="8"/>
        <v>701.19999999999993</v>
      </c>
      <c r="P29">
        <f t="shared" si="2"/>
        <v>59</v>
      </c>
      <c r="Q29">
        <f t="shared" si="3"/>
        <v>2613</v>
      </c>
      <c r="R29">
        <f t="shared" si="4"/>
        <v>875</v>
      </c>
      <c r="S29">
        <f t="shared" si="5"/>
        <v>351</v>
      </c>
      <c r="T29">
        <f t="shared" si="6"/>
        <v>701</v>
      </c>
    </row>
    <row r="30" spans="2:20" x14ac:dyDescent="0.3">
      <c r="B30" s="13">
        <v>27</v>
      </c>
      <c r="C30" s="13" t="s">
        <v>0</v>
      </c>
      <c r="D30" s="12">
        <v>61</v>
      </c>
      <c r="E30" s="3">
        <f t="shared" si="7"/>
        <v>2792.75</v>
      </c>
      <c r="F30" s="3">
        <f t="shared" si="0"/>
        <v>935.25</v>
      </c>
      <c r="G30" s="3">
        <f t="shared" si="1"/>
        <v>375.1</v>
      </c>
      <c r="H30" s="3">
        <f t="shared" si="8"/>
        <v>749.2</v>
      </c>
      <c r="P30">
        <f t="shared" si="2"/>
        <v>61</v>
      </c>
      <c r="Q30">
        <f t="shared" si="3"/>
        <v>2793</v>
      </c>
      <c r="R30">
        <f t="shared" si="4"/>
        <v>935</v>
      </c>
      <c r="S30">
        <f t="shared" si="5"/>
        <v>375</v>
      </c>
      <c r="T30">
        <f t="shared" si="6"/>
        <v>749</v>
      </c>
    </row>
    <row r="31" spans="2:20" x14ac:dyDescent="0.3">
      <c r="B31" s="13">
        <v>28</v>
      </c>
      <c r="C31" s="13" t="s">
        <v>2</v>
      </c>
      <c r="D31" s="12">
        <v>63</v>
      </c>
      <c r="E31" s="3">
        <f t="shared" si="7"/>
        <v>2978.75</v>
      </c>
      <c r="F31" s="3">
        <f t="shared" si="0"/>
        <v>997.25</v>
      </c>
      <c r="G31" s="3">
        <f t="shared" si="1"/>
        <v>399.90000000000003</v>
      </c>
      <c r="H31" s="3">
        <f t="shared" si="8"/>
        <v>798.8</v>
      </c>
      <c r="P31">
        <f t="shared" si="2"/>
        <v>63</v>
      </c>
      <c r="Q31">
        <f t="shared" si="3"/>
        <v>2979</v>
      </c>
      <c r="R31">
        <f t="shared" si="4"/>
        <v>997</v>
      </c>
      <c r="S31">
        <f t="shared" si="5"/>
        <v>400</v>
      </c>
      <c r="T31">
        <f t="shared" si="6"/>
        <v>799</v>
      </c>
    </row>
    <row r="32" spans="2:20" x14ac:dyDescent="0.3">
      <c r="B32" s="13">
        <v>29</v>
      </c>
      <c r="C32" s="13" t="s">
        <v>1</v>
      </c>
      <c r="D32" s="12">
        <v>65</v>
      </c>
      <c r="E32" s="3">
        <f t="shared" si="7"/>
        <v>3170.75</v>
      </c>
      <c r="F32" s="3">
        <f t="shared" si="0"/>
        <v>1061.25</v>
      </c>
      <c r="G32" s="3">
        <f t="shared" si="1"/>
        <v>425.5</v>
      </c>
      <c r="H32" s="3">
        <f t="shared" si="8"/>
        <v>850</v>
      </c>
      <c r="P32">
        <f t="shared" si="2"/>
        <v>65</v>
      </c>
      <c r="Q32">
        <f t="shared" si="3"/>
        <v>3171</v>
      </c>
      <c r="R32">
        <f t="shared" si="4"/>
        <v>1061</v>
      </c>
      <c r="S32">
        <f t="shared" si="5"/>
        <v>426</v>
      </c>
      <c r="T32">
        <f t="shared" si="6"/>
        <v>850</v>
      </c>
    </row>
    <row r="33" spans="2:20" x14ac:dyDescent="0.3">
      <c r="B33" s="13">
        <v>30</v>
      </c>
      <c r="C33" s="13" t="s">
        <v>100</v>
      </c>
      <c r="D33" s="12">
        <v>67</v>
      </c>
      <c r="E33" s="3">
        <f t="shared" si="7"/>
        <v>3368.75</v>
      </c>
      <c r="F33" s="3">
        <f t="shared" si="0"/>
        <v>1127.25</v>
      </c>
      <c r="G33" s="3">
        <f t="shared" si="1"/>
        <v>451.90000000000003</v>
      </c>
      <c r="H33" s="3">
        <f t="shared" si="8"/>
        <v>902.8</v>
      </c>
      <c r="P33">
        <f t="shared" si="2"/>
        <v>67</v>
      </c>
      <c r="Q33">
        <f t="shared" si="3"/>
        <v>3369</v>
      </c>
      <c r="R33">
        <f t="shared" si="4"/>
        <v>1127</v>
      </c>
      <c r="S33">
        <f t="shared" si="5"/>
        <v>452</v>
      </c>
      <c r="T33">
        <f t="shared" si="6"/>
        <v>903</v>
      </c>
    </row>
    <row r="34" spans="2:20" x14ac:dyDescent="0.3">
      <c r="B34" s="13">
        <v>31</v>
      </c>
      <c r="C34" s="13" t="s">
        <v>263</v>
      </c>
      <c r="D34" s="12">
        <v>70</v>
      </c>
      <c r="E34" s="3">
        <f t="shared" si="7"/>
        <v>3677</v>
      </c>
      <c r="F34" s="3">
        <f t="shared" si="0"/>
        <v>1230</v>
      </c>
      <c r="G34" s="3">
        <f t="shared" si="1"/>
        <v>493</v>
      </c>
      <c r="H34" s="3">
        <f t="shared" si="8"/>
        <v>985</v>
      </c>
      <c r="P34">
        <f t="shared" si="2"/>
        <v>70</v>
      </c>
      <c r="Q34">
        <f t="shared" si="3"/>
        <v>3677</v>
      </c>
      <c r="R34">
        <f t="shared" si="4"/>
        <v>1230</v>
      </c>
      <c r="S34">
        <f t="shared" si="5"/>
        <v>493</v>
      </c>
      <c r="T34">
        <f t="shared" si="6"/>
        <v>985</v>
      </c>
    </row>
    <row r="35" spans="2:20" x14ac:dyDescent="0.3">
      <c r="B35" s="13">
        <v>32</v>
      </c>
      <c r="C35" s="13" t="s">
        <v>264</v>
      </c>
      <c r="D35" s="12">
        <v>72</v>
      </c>
      <c r="E35" s="3">
        <f t="shared" si="7"/>
        <v>3890</v>
      </c>
      <c r="F35" s="3">
        <f t="shared" si="0"/>
        <v>1301</v>
      </c>
      <c r="G35" s="3">
        <f t="shared" si="1"/>
        <v>521.4</v>
      </c>
      <c r="H35" s="3">
        <f t="shared" si="8"/>
        <v>1041.8</v>
      </c>
      <c r="P35">
        <f t="shared" si="2"/>
        <v>72</v>
      </c>
      <c r="Q35">
        <f t="shared" si="3"/>
        <v>3890</v>
      </c>
      <c r="R35">
        <f t="shared" si="4"/>
        <v>1301</v>
      </c>
      <c r="S35">
        <f t="shared" si="5"/>
        <v>521</v>
      </c>
      <c r="T35">
        <f t="shared" si="6"/>
        <v>1042</v>
      </c>
    </row>
    <row r="36" spans="2:20" x14ac:dyDescent="0.3">
      <c r="B36" s="13">
        <v>33</v>
      </c>
      <c r="C36" s="13" t="s">
        <v>103</v>
      </c>
      <c r="D36" s="12">
        <v>74</v>
      </c>
      <c r="E36" s="3">
        <f t="shared" si="7"/>
        <v>4109</v>
      </c>
      <c r="F36" s="3">
        <f t="shared" si="0"/>
        <v>1374</v>
      </c>
      <c r="G36" s="3">
        <f t="shared" si="1"/>
        <v>550.6</v>
      </c>
      <c r="H36" s="3">
        <f t="shared" si="8"/>
        <v>1100.2</v>
      </c>
      <c r="P36">
        <f t="shared" si="2"/>
        <v>74</v>
      </c>
      <c r="Q36">
        <f t="shared" si="3"/>
        <v>4109</v>
      </c>
      <c r="R36">
        <f t="shared" si="4"/>
        <v>1374</v>
      </c>
      <c r="S36">
        <f t="shared" si="5"/>
        <v>551</v>
      </c>
      <c r="T36">
        <f t="shared" si="6"/>
        <v>1100</v>
      </c>
    </row>
    <row r="37" spans="2:20" x14ac:dyDescent="0.3">
      <c r="B37" s="13">
        <v>34</v>
      </c>
      <c r="C37" s="13" t="s">
        <v>265</v>
      </c>
      <c r="D37" s="12">
        <v>76</v>
      </c>
      <c r="E37" s="3">
        <f t="shared" si="7"/>
        <v>4334</v>
      </c>
      <c r="F37" s="3">
        <f t="shared" si="0"/>
        <v>1449</v>
      </c>
      <c r="G37" s="3">
        <f t="shared" si="1"/>
        <v>580.6</v>
      </c>
      <c r="H37" s="3">
        <f t="shared" si="8"/>
        <v>1160.2</v>
      </c>
      <c r="P37">
        <f t="shared" si="2"/>
        <v>76</v>
      </c>
      <c r="Q37">
        <f t="shared" si="3"/>
        <v>4334</v>
      </c>
      <c r="R37">
        <f t="shared" si="4"/>
        <v>1449</v>
      </c>
      <c r="S37">
        <f t="shared" si="5"/>
        <v>581</v>
      </c>
      <c r="T37">
        <f t="shared" si="6"/>
        <v>1160</v>
      </c>
    </row>
    <row r="38" spans="2:20" x14ac:dyDescent="0.3">
      <c r="B38" s="13">
        <v>35</v>
      </c>
      <c r="C38" s="13" t="s">
        <v>266</v>
      </c>
      <c r="D38" s="12">
        <v>78</v>
      </c>
      <c r="E38" s="3">
        <f t="shared" si="7"/>
        <v>4565</v>
      </c>
      <c r="F38" s="3">
        <f t="shared" si="0"/>
        <v>1526</v>
      </c>
      <c r="G38" s="3">
        <f t="shared" si="1"/>
        <v>611.4</v>
      </c>
      <c r="H38" s="3">
        <f t="shared" si="8"/>
        <v>1221.8000000000002</v>
      </c>
      <c r="P38">
        <f t="shared" si="2"/>
        <v>78</v>
      </c>
      <c r="Q38">
        <f t="shared" si="3"/>
        <v>4565</v>
      </c>
      <c r="R38">
        <f t="shared" si="4"/>
        <v>1526</v>
      </c>
      <c r="S38">
        <f t="shared" si="5"/>
        <v>611</v>
      </c>
      <c r="T38">
        <f t="shared" si="6"/>
        <v>1222</v>
      </c>
    </row>
    <row r="39" spans="2:20" x14ac:dyDescent="0.3">
      <c r="B39" s="13">
        <v>36</v>
      </c>
      <c r="C39" s="13" t="s">
        <v>267</v>
      </c>
      <c r="D39" s="12">
        <v>80</v>
      </c>
      <c r="E39" s="3">
        <f t="shared" si="7"/>
        <v>4802</v>
      </c>
      <c r="F39" s="3">
        <f t="shared" si="0"/>
        <v>1605</v>
      </c>
      <c r="G39" s="3">
        <f t="shared" si="1"/>
        <v>643</v>
      </c>
      <c r="H39" s="3">
        <f t="shared" si="8"/>
        <v>1285</v>
      </c>
      <c r="P39">
        <f t="shared" si="2"/>
        <v>80</v>
      </c>
      <c r="Q39">
        <f t="shared" si="3"/>
        <v>4802</v>
      </c>
      <c r="R39">
        <f t="shared" si="4"/>
        <v>1605</v>
      </c>
      <c r="S39">
        <f t="shared" si="5"/>
        <v>643</v>
      </c>
      <c r="T39">
        <f t="shared" si="6"/>
        <v>1285</v>
      </c>
    </row>
    <row r="40" spans="2:20" x14ac:dyDescent="0.3">
      <c r="B40" s="13">
        <v>37</v>
      </c>
      <c r="C40" s="13" t="s">
        <v>268</v>
      </c>
      <c r="D40" s="12">
        <v>83</v>
      </c>
      <c r="E40" s="3">
        <f t="shared" si="7"/>
        <v>5168.75</v>
      </c>
      <c r="F40" s="3">
        <f t="shared" si="0"/>
        <v>1727.25</v>
      </c>
      <c r="G40" s="3">
        <f t="shared" si="1"/>
        <v>691.90000000000009</v>
      </c>
      <c r="H40" s="3">
        <f t="shared" si="8"/>
        <v>1382.8</v>
      </c>
      <c r="P40">
        <f t="shared" si="2"/>
        <v>83</v>
      </c>
      <c r="Q40">
        <f t="shared" si="3"/>
        <v>5169</v>
      </c>
      <c r="R40">
        <f t="shared" si="4"/>
        <v>1727</v>
      </c>
      <c r="S40">
        <f t="shared" si="5"/>
        <v>692</v>
      </c>
      <c r="T40">
        <f t="shared" si="6"/>
        <v>1383</v>
      </c>
    </row>
    <row r="41" spans="2:20" x14ac:dyDescent="0.3">
      <c r="B41" s="13">
        <v>38</v>
      </c>
      <c r="C41" s="13" t="s">
        <v>269</v>
      </c>
      <c r="D41" s="12">
        <v>85</v>
      </c>
      <c r="E41" s="3">
        <f t="shared" si="7"/>
        <v>5420.75</v>
      </c>
      <c r="F41" s="3">
        <f t="shared" si="0"/>
        <v>1811.25</v>
      </c>
      <c r="G41" s="3">
        <f t="shared" si="1"/>
        <v>725.5</v>
      </c>
      <c r="H41" s="3">
        <f t="shared" si="8"/>
        <v>1450</v>
      </c>
      <c r="P41">
        <f t="shared" si="2"/>
        <v>85</v>
      </c>
      <c r="Q41">
        <f t="shared" si="3"/>
        <v>5421</v>
      </c>
      <c r="R41">
        <f t="shared" si="4"/>
        <v>1811</v>
      </c>
      <c r="S41">
        <f t="shared" si="5"/>
        <v>726</v>
      </c>
      <c r="T41">
        <f t="shared" si="6"/>
        <v>1450</v>
      </c>
    </row>
    <row r="42" spans="2:20" x14ac:dyDescent="0.3">
      <c r="B42" s="13">
        <v>39</v>
      </c>
      <c r="C42" s="13" t="s">
        <v>270</v>
      </c>
      <c r="D42" s="12">
        <v>87</v>
      </c>
      <c r="E42" s="3">
        <f t="shared" si="7"/>
        <v>5678.75</v>
      </c>
      <c r="F42" s="3">
        <f t="shared" si="0"/>
        <v>1897.25</v>
      </c>
      <c r="G42" s="3">
        <f t="shared" si="1"/>
        <v>759.90000000000009</v>
      </c>
      <c r="H42" s="3">
        <f t="shared" si="8"/>
        <v>1518.8</v>
      </c>
      <c r="P42">
        <f t="shared" si="2"/>
        <v>87</v>
      </c>
      <c r="Q42">
        <f t="shared" si="3"/>
        <v>5679</v>
      </c>
      <c r="R42">
        <f t="shared" si="4"/>
        <v>1897</v>
      </c>
      <c r="S42">
        <f t="shared" si="5"/>
        <v>760</v>
      </c>
      <c r="T42">
        <f t="shared" si="6"/>
        <v>1519</v>
      </c>
    </row>
    <row r="43" spans="2:20" x14ac:dyDescent="0.3">
      <c r="B43" s="13">
        <v>40</v>
      </c>
      <c r="C43" s="13" t="s">
        <v>271</v>
      </c>
      <c r="D43" s="12">
        <v>89</v>
      </c>
      <c r="E43" s="3">
        <f t="shared" si="7"/>
        <v>5942.75</v>
      </c>
      <c r="F43" s="3">
        <f t="shared" si="0"/>
        <v>1985.25</v>
      </c>
      <c r="G43" s="3">
        <f t="shared" si="1"/>
        <v>795.1</v>
      </c>
      <c r="H43" s="3">
        <f t="shared" si="8"/>
        <v>1589.2000000000003</v>
      </c>
      <c r="P43">
        <f t="shared" si="2"/>
        <v>89</v>
      </c>
      <c r="Q43">
        <f t="shared" si="3"/>
        <v>5943</v>
      </c>
      <c r="R43">
        <f t="shared" si="4"/>
        <v>1985</v>
      </c>
      <c r="S43">
        <f t="shared" si="5"/>
        <v>795</v>
      </c>
      <c r="T43">
        <f t="shared" si="6"/>
        <v>1589</v>
      </c>
    </row>
    <row r="44" spans="2:20" x14ac:dyDescent="0.3">
      <c r="B44" s="13">
        <v>41</v>
      </c>
      <c r="C44" s="13" t="s">
        <v>272</v>
      </c>
      <c r="D44" s="12">
        <v>91</v>
      </c>
      <c r="E44" s="3">
        <f t="shared" si="7"/>
        <v>6212.75</v>
      </c>
      <c r="F44" s="3">
        <f t="shared" si="0"/>
        <v>2075.25</v>
      </c>
      <c r="G44" s="3">
        <f t="shared" si="1"/>
        <v>831.1</v>
      </c>
      <c r="H44" s="3">
        <f t="shared" si="8"/>
        <v>1661.2</v>
      </c>
      <c r="P44">
        <f t="shared" si="2"/>
        <v>91</v>
      </c>
      <c r="Q44">
        <f t="shared" si="3"/>
        <v>6213</v>
      </c>
      <c r="R44">
        <f t="shared" si="4"/>
        <v>2075</v>
      </c>
      <c r="S44">
        <f t="shared" si="5"/>
        <v>831</v>
      </c>
      <c r="T44">
        <f t="shared" si="6"/>
        <v>1661</v>
      </c>
    </row>
    <row r="45" spans="2:20" x14ac:dyDescent="0.3">
      <c r="B45" s="13">
        <v>42</v>
      </c>
      <c r="C45" s="13" t="s">
        <v>273</v>
      </c>
      <c r="D45" s="12">
        <v>93</v>
      </c>
      <c r="E45" s="3">
        <f t="shared" si="7"/>
        <v>6488.75</v>
      </c>
      <c r="F45" s="3">
        <f t="shared" si="0"/>
        <v>2167.25</v>
      </c>
      <c r="G45" s="3">
        <f t="shared" si="1"/>
        <v>867.90000000000009</v>
      </c>
      <c r="H45" s="3">
        <f t="shared" si="8"/>
        <v>1734.8000000000002</v>
      </c>
      <c r="P45">
        <f t="shared" si="2"/>
        <v>93</v>
      </c>
      <c r="Q45">
        <f t="shared" si="3"/>
        <v>6489</v>
      </c>
      <c r="R45">
        <f t="shared" si="4"/>
        <v>2167</v>
      </c>
      <c r="S45">
        <f t="shared" si="5"/>
        <v>868</v>
      </c>
      <c r="T45">
        <f t="shared" si="6"/>
        <v>1735</v>
      </c>
    </row>
    <row r="46" spans="2:20" x14ac:dyDescent="0.3">
      <c r="B46" s="13">
        <v>43</v>
      </c>
      <c r="C46" s="13" t="s">
        <v>274</v>
      </c>
      <c r="D46" s="12">
        <v>95</v>
      </c>
      <c r="E46" s="3">
        <f t="shared" si="7"/>
        <v>6770.75</v>
      </c>
      <c r="F46" s="3">
        <f t="shared" si="0"/>
        <v>2261.25</v>
      </c>
      <c r="G46" s="3">
        <f t="shared" si="1"/>
        <v>905.5</v>
      </c>
      <c r="H46" s="3">
        <f t="shared" si="8"/>
        <v>1810</v>
      </c>
      <c r="P46">
        <f t="shared" si="2"/>
        <v>95</v>
      </c>
      <c r="Q46">
        <f t="shared" si="3"/>
        <v>6771</v>
      </c>
      <c r="R46">
        <f t="shared" si="4"/>
        <v>2261</v>
      </c>
      <c r="S46">
        <f t="shared" si="5"/>
        <v>906</v>
      </c>
      <c r="T46">
        <f t="shared" si="6"/>
        <v>1810</v>
      </c>
    </row>
    <row r="47" spans="2:20" x14ac:dyDescent="0.3">
      <c r="B47" s="13">
        <v>44</v>
      </c>
      <c r="C47" s="13" t="s">
        <v>275</v>
      </c>
      <c r="D47" s="12">
        <v>97</v>
      </c>
      <c r="E47" s="3">
        <f t="shared" si="7"/>
        <v>7058.75</v>
      </c>
      <c r="F47" s="3">
        <f t="shared" si="0"/>
        <v>2357.25</v>
      </c>
      <c r="G47" s="3">
        <f t="shared" si="1"/>
        <v>943.90000000000009</v>
      </c>
      <c r="H47" s="3">
        <f t="shared" si="8"/>
        <v>1886.8000000000002</v>
      </c>
      <c r="P47">
        <f t="shared" si="2"/>
        <v>97</v>
      </c>
      <c r="Q47">
        <f t="shared" si="3"/>
        <v>7059</v>
      </c>
      <c r="R47">
        <f t="shared" si="4"/>
        <v>2357</v>
      </c>
      <c r="S47">
        <f t="shared" si="5"/>
        <v>944</v>
      </c>
      <c r="T47">
        <f t="shared" si="6"/>
        <v>1887</v>
      </c>
    </row>
    <row r="48" spans="2:20" x14ac:dyDescent="0.3">
      <c r="B48" s="13">
        <v>45</v>
      </c>
      <c r="C48" s="13" t="s">
        <v>111</v>
      </c>
      <c r="D48" s="12">
        <v>99</v>
      </c>
      <c r="E48" s="3">
        <f t="shared" si="7"/>
        <v>7352.75</v>
      </c>
      <c r="F48" s="3">
        <f t="shared" si="0"/>
        <v>2455.25</v>
      </c>
      <c r="G48" s="3">
        <f t="shared" si="1"/>
        <v>983.1</v>
      </c>
      <c r="H48" s="3">
        <f t="shared" si="8"/>
        <v>1965.2</v>
      </c>
      <c r="P48">
        <f t="shared" si="2"/>
        <v>99</v>
      </c>
      <c r="Q48">
        <f t="shared" si="3"/>
        <v>7353</v>
      </c>
      <c r="R48">
        <f t="shared" si="4"/>
        <v>2455</v>
      </c>
      <c r="S48">
        <f t="shared" si="5"/>
        <v>983</v>
      </c>
      <c r="T48">
        <f t="shared" si="6"/>
        <v>1965</v>
      </c>
    </row>
    <row r="49" spans="2:20" x14ac:dyDescent="0.3">
      <c r="B49" s="13">
        <v>46</v>
      </c>
      <c r="C49" s="13" t="s">
        <v>113</v>
      </c>
      <c r="D49" s="12">
        <v>101</v>
      </c>
      <c r="E49" s="3">
        <f t="shared" si="7"/>
        <v>7652.75</v>
      </c>
      <c r="F49" s="3">
        <f t="shared" si="0"/>
        <v>2555.25</v>
      </c>
      <c r="G49" s="3">
        <f t="shared" si="1"/>
        <v>1023.1</v>
      </c>
      <c r="H49" s="3">
        <f t="shared" si="8"/>
        <v>2045.2</v>
      </c>
      <c r="P49">
        <f t="shared" si="2"/>
        <v>101</v>
      </c>
      <c r="Q49">
        <f t="shared" si="3"/>
        <v>7653</v>
      </c>
      <c r="R49">
        <f t="shared" si="4"/>
        <v>2555</v>
      </c>
      <c r="S49">
        <f t="shared" si="5"/>
        <v>1023</v>
      </c>
      <c r="T49">
        <f t="shared" si="6"/>
        <v>2045</v>
      </c>
    </row>
    <row r="50" spans="2:20" x14ac:dyDescent="0.3">
      <c r="B50" s="13">
        <v>47</v>
      </c>
      <c r="C50" s="13" t="s">
        <v>276</v>
      </c>
      <c r="D50" s="12">
        <v>105</v>
      </c>
      <c r="E50" s="3">
        <f t="shared" si="7"/>
        <v>8270.75</v>
      </c>
      <c r="F50" s="3">
        <f t="shared" si="0"/>
        <v>2761.25</v>
      </c>
      <c r="G50" s="3">
        <f t="shared" si="1"/>
        <v>1105.5</v>
      </c>
      <c r="H50" s="3">
        <f t="shared" si="8"/>
        <v>2210</v>
      </c>
      <c r="P50">
        <f t="shared" si="2"/>
        <v>105</v>
      </c>
      <c r="Q50">
        <f t="shared" si="3"/>
        <v>8271</v>
      </c>
      <c r="R50">
        <f t="shared" si="4"/>
        <v>2761</v>
      </c>
      <c r="S50">
        <f t="shared" si="5"/>
        <v>1106</v>
      </c>
      <c r="T50">
        <f t="shared" si="6"/>
        <v>2210</v>
      </c>
    </row>
    <row r="51" spans="2:20" x14ac:dyDescent="0.3">
      <c r="B51" s="13">
        <v>48</v>
      </c>
      <c r="C51" s="13" t="s">
        <v>277</v>
      </c>
      <c r="D51" s="13">
        <v>110</v>
      </c>
      <c r="E51" s="3">
        <f t="shared" si="7"/>
        <v>9077</v>
      </c>
      <c r="F51" s="3">
        <f t="shared" ref="F51:F54" si="9">$K$4+(D51*(D51/$K$8)*$K$2)</f>
        <v>3030</v>
      </c>
      <c r="G51" s="3">
        <f t="shared" ref="G51:G54" si="10">$L$4+(D51*(D51/$L$8)*$L$2)</f>
        <v>1213</v>
      </c>
      <c r="H51" s="3">
        <f t="shared" ref="H51:H54" si="11">$M$4+(D51*(D51/$M$8)*$M$2)</f>
        <v>2425.0000000000005</v>
      </c>
      <c r="P51">
        <f t="shared" si="2"/>
        <v>110</v>
      </c>
      <c r="Q51">
        <f t="shared" ref="Q51:Q54" si="12">ROUND(E51,0)</f>
        <v>9077</v>
      </c>
      <c r="R51">
        <f t="shared" ref="R51:R54" si="13">ROUND(F51,0)</f>
        <v>3030</v>
      </c>
      <c r="S51">
        <f t="shared" ref="S51:S54" si="14">ROUND(G51,0)</f>
        <v>1213</v>
      </c>
      <c r="T51">
        <f t="shared" ref="T51:T54" si="15">ROUND(H51,0)</f>
        <v>2425</v>
      </c>
    </row>
    <row r="52" spans="2:20" x14ac:dyDescent="0.3">
      <c r="B52" s="13">
        <v>49</v>
      </c>
      <c r="C52" s="13" t="s">
        <v>278</v>
      </c>
      <c r="D52" s="13">
        <v>113</v>
      </c>
      <c r="E52" s="3">
        <f t="shared" ref="E52:E54" si="16">$J$4+(D52*(D52/$J$8)*$J$2)</f>
        <v>9578.75</v>
      </c>
      <c r="F52" s="3">
        <f t="shared" si="9"/>
        <v>3197.25</v>
      </c>
      <c r="G52" s="3">
        <f t="shared" si="10"/>
        <v>1279.9000000000001</v>
      </c>
      <c r="H52" s="3">
        <f t="shared" si="11"/>
        <v>2558.7999999999997</v>
      </c>
      <c r="P52">
        <f t="shared" si="2"/>
        <v>113</v>
      </c>
      <c r="Q52">
        <f t="shared" si="12"/>
        <v>9579</v>
      </c>
      <c r="R52">
        <f t="shared" si="13"/>
        <v>3197</v>
      </c>
      <c r="S52">
        <f t="shared" si="14"/>
        <v>1280</v>
      </c>
      <c r="T52">
        <f t="shared" si="15"/>
        <v>2559</v>
      </c>
    </row>
    <row r="53" spans="2:20" x14ac:dyDescent="0.3">
      <c r="B53" s="13">
        <v>50</v>
      </c>
      <c r="C53" s="13" t="s">
        <v>116</v>
      </c>
      <c r="D53" s="13">
        <v>115</v>
      </c>
      <c r="E53" s="3">
        <f t="shared" si="16"/>
        <v>9920.75</v>
      </c>
      <c r="F53" s="3">
        <f t="shared" si="9"/>
        <v>3311.25</v>
      </c>
      <c r="G53" s="3">
        <f t="shared" si="10"/>
        <v>1325.5</v>
      </c>
      <c r="H53" s="3">
        <f t="shared" si="11"/>
        <v>2650</v>
      </c>
      <c r="P53">
        <f t="shared" si="2"/>
        <v>115</v>
      </c>
      <c r="Q53">
        <f t="shared" si="12"/>
        <v>9921</v>
      </c>
      <c r="R53">
        <f t="shared" si="13"/>
        <v>3311</v>
      </c>
      <c r="S53">
        <f t="shared" si="14"/>
        <v>1326</v>
      </c>
      <c r="T53">
        <f t="shared" si="15"/>
        <v>2650</v>
      </c>
    </row>
    <row r="54" spans="2:20" x14ac:dyDescent="0.3">
      <c r="D54" s="13">
        <v>117</v>
      </c>
      <c r="E54" s="3">
        <f t="shared" si="16"/>
        <v>10268.75</v>
      </c>
      <c r="F54" s="3">
        <f t="shared" si="9"/>
        <v>3427.25</v>
      </c>
      <c r="G54" s="3">
        <f t="shared" si="10"/>
        <v>1371.9</v>
      </c>
      <c r="H54" s="3">
        <f t="shared" si="11"/>
        <v>2742.7999999999997</v>
      </c>
      <c r="P54">
        <f t="shared" si="2"/>
        <v>117</v>
      </c>
      <c r="Q54">
        <f t="shared" si="12"/>
        <v>10269</v>
      </c>
      <c r="R54">
        <f t="shared" si="13"/>
        <v>3427</v>
      </c>
      <c r="S54">
        <f t="shared" si="14"/>
        <v>1372</v>
      </c>
      <c r="T54">
        <f t="shared" si="15"/>
        <v>2743</v>
      </c>
    </row>
    <row r="55" spans="2:20" x14ac:dyDescent="0.3">
      <c r="D55" s="13">
        <v>118</v>
      </c>
      <c r="E55" s="3">
        <f t="shared" ref="E55" si="17">$J$4+(D55*(D55/$J$8)*$J$2)</f>
        <v>10445</v>
      </c>
      <c r="F55" s="3">
        <f t="shared" ref="F55" si="18">$K$4+(D55*(D55/$K$8)*$K$2)</f>
        <v>3486</v>
      </c>
      <c r="G55" s="3">
        <f t="shared" ref="G55" si="19">$L$4+(D55*(D55/$L$8)*$L$2)</f>
        <v>1395.4</v>
      </c>
      <c r="H55" s="3">
        <f t="shared" ref="H55" si="20">$M$4+(D55*(D55/$M$8)*$M$2)</f>
        <v>2789.7999999999997</v>
      </c>
      <c r="P55">
        <f t="shared" ref="P55" si="21">ROUND(D55,0)</f>
        <v>118</v>
      </c>
      <c r="Q55">
        <f t="shared" ref="Q55" si="22">ROUND(E55,0)</f>
        <v>10445</v>
      </c>
      <c r="R55">
        <f t="shared" ref="R55" si="23">ROUND(F55,0)</f>
        <v>3486</v>
      </c>
      <c r="S55">
        <f t="shared" ref="S55" si="24">ROUND(G55,0)</f>
        <v>1395</v>
      </c>
      <c r="T55">
        <f t="shared" ref="T55" si="25">ROUND(H55,0)</f>
        <v>2790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10B49-8801-43D5-A6A1-E2EC0F957F6C}">
  <dimension ref="D5:D55"/>
  <sheetViews>
    <sheetView workbookViewId="0">
      <selection activeCell="D11" sqref="D11"/>
    </sheetView>
  </sheetViews>
  <sheetFormatPr defaultRowHeight="16.5" x14ac:dyDescent="0.3"/>
  <cols>
    <col min="4" max="4" width="54.375" customWidth="1"/>
    <col min="5" max="5" width="35.375" customWidth="1"/>
  </cols>
  <sheetData>
    <row r="5" spans="4:4" x14ac:dyDescent="0.3">
      <c r="D5" t="s">
        <v>279</v>
      </c>
    </row>
    <row r="6" spans="4:4" x14ac:dyDescent="0.3">
      <c r="D6" t="s">
        <v>280</v>
      </c>
    </row>
    <row r="7" spans="4:4" x14ac:dyDescent="0.3">
      <c r="D7" t="s">
        <v>281</v>
      </c>
    </row>
    <row r="8" spans="4:4" x14ac:dyDescent="0.3">
      <c r="D8" t="s">
        <v>282</v>
      </c>
    </row>
    <row r="9" spans="4:4" x14ac:dyDescent="0.3">
      <c r="D9" t="s">
        <v>283</v>
      </c>
    </row>
    <row r="10" spans="4:4" x14ac:dyDescent="0.3">
      <c r="D10" t="s">
        <v>284</v>
      </c>
    </row>
    <row r="11" spans="4:4" x14ac:dyDescent="0.3">
      <c r="D11" t="s">
        <v>285</v>
      </c>
    </row>
    <row r="12" spans="4:4" x14ac:dyDescent="0.3">
      <c r="D12" t="s">
        <v>286</v>
      </c>
    </row>
    <row r="13" spans="4:4" x14ac:dyDescent="0.3">
      <c r="D13" t="s">
        <v>287</v>
      </c>
    </row>
    <row r="14" spans="4:4" x14ac:dyDescent="0.3">
      <c r="D14" t="s">
        <v>288</v>
      </c>
    </row>
    <row r="15" spans="4:4" x14ac:dyDescent="0.3">
      <c r="D15" t="s">
        <v>289</v>
      </c>
    </row>
    <row r="16" spans="4:4" x14ac:dyDescent="0.3">
      <c r="D16" t="s">
        <v>290</v>
      </c>
    </row>
    <row r="17" spans="4:4" x14ac:dyDescent="0.3">
      <c r="D17" t="s">
        <v>291</v>
      </c>
    </row>
    <row r="18" spans="4:4" x14ac:dyDescent="0.3">
      <c r="D18" t="s">
        <v>292</v>
      </c>
    </row>
    <row r="19" spans="4:4" x14ac:dyDescent="0.3">
      <c r="D19" t="s">
        <v>293</v>
      </c>
    </row>
    <row r="20" spans="4:4" x14ac:dyDescent="0.3">
      <c r="D20" t="s">
        <v>294</v>
      </c>
    </row>
    <row r="21" spans="4:4" x14ac:dyDescent="0.3">
      <c r="D21" t="s">
        <v>295</v>
      </c>
    </row>
    <row r="22" spans="4:4" x14ac:dyDescent="0.3">
      <c r="D22" t="s">
        <v>296</v>
      </c>
    </row>
    <row r="23" spans="4:4" x14ac:dyDescent="0.3">
      <c r="D23" t="s">
        <v>297</v>
      </c>
    </row>
    <row r="24" spans="4:4" x14ac:dyDescent="0.3">
      <c r="D24" t="s">
        <v>298</v>
      </c>
    </row>
    <row r="25" spans="4:4" x14ac:dyDescent="0.3">
      <c r="D25" t="s">
        <v>299</v>
      </c>
    </row>
    <row r="26" spans="4:4" x14ac:dyDescent="0.3">
      <c r="D26" t="s">
        <v>300</v>
      </c>
    </row>
    <row r="27" spans="4:4" x14ac:dyDescent="0.3">
      <c r="D27" t="s">
        <v>301</v>
      </c>
    </row>
    <row r="28" spans="4:4" x14ac:dyDescent="0.3">
      <c r="D28" t="s">
        <v>302</v>
      </c>
    </row>
    <row r="29" spans="4:4" x14ac:dyDescent="0.3">
      <c r="D29" t="s">
        <v>303</v>
      </c>
    </row>
    <row r="30" spans="4:4" x14ac:dyDescent="0.3">
      <c r="D30" t="s">
        <v>304</v>
      </c>
    </row>
    <row r="31" spans="4:4" x14ac:dyDescent="0.3">
      <c r="D31" t="s">
        <v>305</v>
      </c>
    </row>
    <row r="32" spans="4:4" x14ac:dyDescent="0.3">
      <c r="D32" t="s">
        <v>306</v>
      </c>
    </row>
    <row r="33" spans="4:4" x14ac:dyDescent="0.3">
      <c r="D33" t="s">
        <v>307</v>
      </c>
    </row>
    <row r="34" spans="4:4" x14ac:dyDescent="0.3">
      <c r="D34" t="s">
        <v>308</v>
      </c>
    </row>
    <row r="35" spans="4:4" x14ac:dyDescent="0.3">
      <c r="D35" t="s">
        <v>309</v>
      </c>
    </row>
    <row r="36" spans="4:4" x14ac:dyDescent="0.3">
      <c r="D36" t="s">
        <v>310</v>
      </c>
    </row>
    <row r="37" spans="4:4" x14ac:dyDescent="0.3">
      <c r="D37" t="s">
        <v>311</v>
      </c>
    </row>
    <row r="38" spans="4:4" x14ac:dyDescent="0.3">
      <c r="D38" t="s">
        <v>312</v>
      </c>
    </row>
    <row r="39" spans="4:4" x14ac:dyDescent="0.3">
      <c r="D39" t="s">
        <v>313</v>
      </c>
    </row>
    <row r="40" spans="4:4" x14ac:dyDescent="0.3">
      <c r="D40" t="s">
        <v>314</v>
      </c>
    </row>
    <row r="41" spans="4:4" x14ac:dyDescent="0.3">
      <c r="D41" t="s">
        <v>315</v>
      </c>
    </row>
    <row r="42" spans="4:4" x14ac:dyDescent="0.3">
      <c r="D42" t="s">
        <v>316</v>
      </c>
    </row>
    <row r="43" spans="4:4" x14ac:dyDescent="0.3">
      <c r="D43" t="s">
        <v>317</v>
      </c>
    </row>
    <row r="44" spans="4:4" x14ac:dyDescent="0.3">
      <c r="D44" t="s">
        <v>318</v>
      </c>
    </row>
    <row r="45" spans="4:4" x14ac:dyDescent="0.3">
      <c r="D45" t="s">
        <v>319</v>
      </c>
    </row>
    <row r="46" spans="4:4" x14ac:dyDescent="0.3">
      <c r="D46" t="s">
        <v>320</v>
      </c>
    </row>
    <row r="47" spans="4:4" x14ac:dyDescent="0.3">
      <c r="D47" t="s">
        <v>321</v>
      </c>
    </row>
    <row r="48" spans="4:4" x14ac:dyDescent="0.3">
      <c r="D48" t="s">
        <v>322</v>
      </c>
    </row>
    <row r="49" spans="4:4" x14ac:dyDescent="0.3">
      <c r="D49" t="s">
        <v>323</v>
      </c>
    </row>
    <row r="50" spans="4:4" x14ac:dyDescent="0.3">
      <c r="D50" t="s">
        <v>324</v>
      </c>
    </row>
    <row r="51" spans="4:4" x14ac:dyDescent="0.3">
      <c r="D51" t="s">
        <v>325</v>
      </c>
    </row>
    <row r="52" spans="4:4" x14ac:dyDescent="0.3">
      <c r="D52" t="s">
        <v>326</v>
      </c>
    </row>
    <row r="53" spans="4:4" x14ac:dyDescent="0.3">
      <c r="D53" t="s">
        <v>327</v>
      </c>
    </row>
    <row r="54" spans="4:4" x14ac:dyDescent="0.3">
      <c r="D54" t="s">
        <v>328</v>
      </c>
    </row>
    <row r="55" spans="4:4" x14ac:dyDescent="0.3">
      <c r="D55" t="s">
        <v>329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78D6B-E607-408B-AE4E-7500147EEAC5}">
  <sheetPr codeName="Sheet1"/>
  <dimension ref="A1:AH73"/>
  <sheetViews>
    <sheetView zoomScale="85" zoomScaleNormal="85" workbookViewId="0">
      <selection activeCell="B1" sqref="B1:I1048576"/>
    </sheetView>
  </sheetViews>
  <sheetFormatPr defaultRowHeight="16.5" x14ac:dyDescent="0.3"/>
  <cols>
    <col min="3" max="3" width="15" style="3" customWidth="1"/>
    <col min="4" max="7" width="9" style="3"/>
    <col min="8" max="8" width="9" style="5" customWidth="1"/>
    <col min="17" max="17" width="16.5" customWidth="1"/>
    <col min="31" max="31" width="9" style="8"/>
  </cols>
  <sheetData>
    <row r="1" spans="1:34" x14ac:dyDescent="0.3">
      <c r="B1" t="s">
        <v>136</v>
      </c>
      <c r="C1" s="3" t="s">
        <v>129</v>
      </c>
      <c r="D1" s="3" t="s">
        <v>130</v>
      </c>
      <c r="E1" s="3" t="s">
        <v>132</v>
      </c>
      <c r="F1" s="3" t="s">
        <v>131</v>
      </c>
      <c r="G1" s="3" t="s">
        <v>134</v>
      </c>
      <c r="H1" s="5" t="s">
        <v>133</v>
      </c>
      <c r="I1" s="3" t="s">
        <v>135</v>
      </c>
    </row>
    <row r="2" spans="1:34" x14ac:dyDescent="0.3">
      <c r="A2">
        <v>1.5</v>
      </c>
      <c r="B2" t="str">
        <f>T6</f>
        <v>초슬</v>
      </c>
      <c r="C2" s="3">
        <v>10</v>
      </c>
      <c r="D2" s="3">
        <v>5</v>
      </c>
      <c r="E2" s="3">
        <v>2</v>
      </c>
      <c r="F2" s="3">
        <v>1</v>
      </c>
      <c r="G2" s="3">
        <v>1</v>
      </c>
      <c r="H2" s="5">
        <f>(C2*D2*E2*$A$8)/(C2*$A$10)+D2*$A$12</f>
        <v>20.2</v>
      </c>
      <c r="I2" s="5">
        <f>(C2*D2*E2*$A$8)/(C2*$A$11)+D2*$A$13</f>
        <v>35.133333333333333</v>
      </c>
    </row>
    <row r="3" spans="1:34" x14ac:dyDescent="0.3">
      <c r="A3">
        <v>1.3</v>
      </c>
      <c r="B3" t="str">
        <f>U6</f>
        <v>노슬</v>
      </c>
      <c r="C3" s="3">
        <f>C2*$A$2</f>
        <v>15</v>
      </c>
      <c r="D3" s="3">
        <f>D2*$A$4</f>
        <v>6</v>
      </c>
      <c r="E3" s="3">
        <f>E2*$A$5</f>
        <v>2.2000000000000002</v>
      </c>
      <c r="F3" s="3">
        <v>1</v>
      </c>
      <c r="G3" s="3">
        <v>1</v>
      </c>
      <c r="H3" s="5">
        <f t="shared" ref="H3:H51" si="0">(C3*D3*E3*$A$8)/(C3*$A$10)+D3*$A$12</f>
        <v>24.263999999999999</v>
      </c>
      <c r="I3" s="5">
        <f>(C3*D3*E3*$A$8)/(C3*$A$11)+D3*$A$13</f>
        <v>42.176000000000002</v>
      </c>
    </row>
    <row r="4" spans="1:34" x14ac:dyDescent="0.3">
      <c r="A4">
        <v>1.2</v>
      </c>
      <c r="B4" t="str">
        <f>V6</f>
        <v>푸슬</v>
      </c>
      <c r="C4" s="3">
        <f>C3*$A$2</f>
        <v>22.5</v>
      </c>
      <c r="D4" s="3">
        <f>D3*$A$4</f>
        <v>7.1999999999999993</v>
      </c>
      <c r="E4" s="3">
        <f>E3*$A$5</f>
        <v>2.4200000000000004</v>
      </c>
      <c r="F4" s="3">
        <v>1</v>
      </c>
      <c r="G4" s="3">
        <v>1</v>
      </c>
      <c r="H4" s="5">
        <f t="shared" si="0"/>
        <v>29.148479999999996</v>
      </c>
      <c r="I4" s="5">
        <f t="shared" ref="I4:I51" si="1">(C4*D4*E4*$A$8)/(C4*$A$11)+D4*$A$13</f>
        <v>50.632319999999993</v>
      </c>
      <c r="AD4">
        <v>1.2</v>
      </c>
      <c r="AE4" s="8">
        <v>10</v>
      </c>
      <c r="AF4" t="s">
        <v>148</v>
      </c>
      <c r="AG4" t="s">
        <v>158</v>
      </c>
      <c r="AH4" t="s">
        <v>160</v>
      </c>
    </row>
    <row r="5" spans="1:34" x14ac:dyDescent="0.3">
      <c r="A5">
        <v>1.1000000000000001</v>
      </c>
      <c r="B5" t="str">
        <f>W6</f>
        <v>붉슬</v>
      </c>
      <c r="C5" s="3">
        <f>C4*$A$2</f>
        <v>33.75</v>
      </c>
      <c r="D5" s="3">
        <f t="shared" ref="D5:D8" si="2">D4*$A$4</f>
        <v>8.6399999999999988</v>
      </c>
      <c r="E5" s="3">
        <f t="shared" ref="E5:E51" si="3">E4*$A$5</f>
        <v>2.6620000000000008</v>
      </c>
      <c r="F5" s="3">
        <v>1</v>
      </c>
      <c r="G5" s="3">
        <v>1</v>
      </c>
      <c r="H5" s="5">
        <f t="shared" si="0"/>
        <v>35.019993599999992</v>
      </c>
      <c r="I5" s="5">
        <f t="shared" si="1"/>
        <v>60.78666239999999</v>
      </c>
      <c r="T5" s="2">
        <v>1</v>
      </c>
      <c r="U5" s="2">
        <v>1.3</v>
      </c>
      <c r="V5" s="2">
        <v>1.5</v>
      </c>
      <c r="W5" s="2">
        <v>1.7</v>
      </c>
      <c r="X5" s="2">
        <v>1.9</v>
      </c>
      <c r="Y5" s="2">
        <v>2.1</v>
      </c>
      <c r="AE5" s="8">
        <f>AE4*$AD$4</f>
        <v>12</v>
      </c>
      <c r="AF5" t="s">
        <v>149</v>
      </c>
      <c r="AG5" t="s">
        <v>158</v>
      </c>
      <c r="AH5" t="s">
        <v>160</v>
      </c>
    </row>
    <row r="6" spans="1:34" x14ac:dyDescent="0.3">
      <c r="B6" t="str">
        <f>X6</f>
        <v>흰슬</v>
      </c>
      <c r="C6" s="3">
        <f>C5*$A$2</f>
        <v>50.625</v>
      </c>
      <c r="D6" s="3">
        <f t="shared" si="2"/>
        <v>10.367999999999999</v>
      </c>
      <c r="E6" s="3">
        <f t="shared" si="3"/>
        <v>2.9282000000000012</v>
      </c>
      <c r="F6" s="3">
        <v>1</v>
      </c>
      <c r="G6" s="3">
        <v>1</v>
      </c>
      <c r="H6" s="5">
        <f t="shared" si="0"/>
        <v>42.079191551999998</v>
      </c>
      <c r="I6" s="5">
        <f t="shared" si="1"/>
        <v>72.980794367999991</v>
      </c>
      <c r="Q6" t="s">
        <v>52</v>
      </c>
      <c r="R6" t="s">
        <v>46</v>
      </c>
      <c r="T6" t="s">
        <v>87</v>
      </c>
      <c r="U6" t="s">
        <v>78</v>
      </c>
      <c r="V6" t="s">
        <v>79</v>
      </c>
      <c r="W6" t="s">
        <v>80</v>
      </c>
      <c r="X6" t="s">
        <v>81</v>
      </c>
      <c r="Y6" t="s">
        <v>82</v>
      </c>
      <c r="AE6" s="8">
        <f>AE5*$AD$4</f>
        <v>14.399999999999999</v>
      </c>
      <c r="AF6" t="s">
        <v>150</v>
      </c>
      <c r="AG6" t="s">
        <v>158</v>
      </c>
      <c r="AH6" t="s">
        <v>160</v>
      </c>
    </row>
    <row r="7" spans="1:34" x14ac:dyDescent="0.3">
      <c r="B7" t="str">
        <f>Y6</f>
        <v>검슬</v>
      </c>
      <c r="C7" s="3">
        <f>C6*$A$2</f>
        <v>75.9375</v>
      </c>
      <c r="D7" s="3">
        <f t="shared" si="2"/>
        <v>12.441599999999998</v>
      </c>
      <c r="E7" s="3">
        <f t="shared" si="3"/>
        <v>3.2210200000000015</v>
      </c>
      <c r="F7" s="3">
        <v>1</v>
      </c>
      <c r="G7" s="3">
        <v>1</v>
      </c>
      <c r="H7" s="5">
        <f t="shared" si="0"/>
        <v>50.567892848639993</v>
      </c>
      <c r="I7" s="5">
        <f t="shared" si="1"/>
        <v>87.625528565759993</v>
      </c>
      <c r="P7" t="s">
        <v>48</v>
      </c>
      <c r="AC7" t="s">
        <v>147</v>
      </c>
      <c r="AE7" s="8">
        <f t="shared" ref="AE7:AE8" si="4">AE6*$AD$4</f>
        <v>17.279999999999998</v>
      </c>
      <c r="AF7" t="s">
        <v>151</v>
      </c>
      <c r="AG7" t="s">
        <v>158</v>
      </c>
      <c r="AH7" t="s">
        <v>160</v>
      </c>
    </row>
    <row r="8" spans="1:34" x14ac:dyDescent="0.3">
      <c r="A8">
        <v>0.02</v>
      </c>
      <c r="B8" s="4" t="str">
        <f>T8</f>
        <v>흰양</v>
      </c>
      <c r="C8" s="9">
        <f t="shared" ref="C8:C14" si="5">C7*$A$2</f>
        <v>113.90625</v>
      </c>
      <c r="D8" s="9">
        <f t="shared" si="2"/>
        <v>14.929919999999996</v>
      </c>
      <c r="E8" s="9">
        <f t="shared" si="3"/>
        <v>3.5431220000000021</v>
      </c>
      <c r="F8" s="9">
        <v>1</v>
      </c>
      <c r="G8" s="9">
        <v>1</v>
      </c>
      <c r="H8" s="10">
        <f t="shared" si="0"/>
        <v>60.777650560204783</v>
      </c>
      <c r="I8" s="10">
        <f t="shared" si="1"/>
        <v>105.21475370680317</v>
      </c>
      <c r="J8" s="4"/>
      <c r="K8" s="4"/>
      <c r="Q8" t="s">
        <v>53</v>
      </c>
      <c r="R8" t="s">
        <v>45</v>
      </c>
      <c r="T8" t="s">
        <v>86</v>
      </c>
      <c r="U8" t="s">
        <v>84</v>
      </c>
      <c r="V8" t="s">
        <v>83</v>
      </c>
      <c r="W8" t="s">
        <v>85</v>
      </c>
      <c r="AE8" s="8">
        <f t="shared" si="4"/>
        <v>20.735999999999997</v>
      </c>
      <c r="AF8" t="s">
        <v>152</v>
      </c>
      <c r="AG8" t="s">
        <v>158</v>
      </c>
      <c r="AH8" t="s">
        <v>160</v>
      </c>
    </row>
    <row r="9" spans="1:34" x14ac:dyDescent="0.3">
      <c r="B9" s="4" t="str">
        <f>U8</f>
        <v>회양</v>
      </c>
      <c r="C9" s="9">
        <f t="shared" si="5"/>
        <v>170.859375</v>
      </c>
      <c r="D9" s="9">
        <f>D8*$A$5</f>
        <v>16.422911999999997</v>
      </c>
      <c r="E9" s="9">
        <f t="shared" si="3"/>
        <v>3.8974342000000028</v>
      </c>
      <c r="F9" s="9">
        <v>1</v>
      </c>
      <c r="G9" s="9">
        <v>1</v>
      </c>
      <c r="H9" s="10">
        <f t="shared" si="0"/>
        <v>66.971792377847791</v>
      </c>
      <c r="I9" s="10">
        <f t="shared" si="1"/>
        <v>115.81381358523186</v>
      </c>
      <c r="J9" s="4"/>
      <c r="K9" s="4"/>
      <c r="Q9" t="s">
        <v>54</v>
      </c>
      <c r="R9" t="s">
        <v>23</v>
      </c>
      <c r="T9" t="s">
        <v>88</v>
      </c>
      <c r="U9" t="s">
        <v>89</v>
      </c>
      <c r="V9" t="s">
        <v>90</v>
      </c>
      <c r="W9" t="s">
        <v>91</v>
      </c>
      <c r="AE9" s="8">
        <f>AE8*$AD$4</f>
        <v>24.883199999999995</v>
      </c>
      <c r="AF9" t="s">
        <v>153</v>
      </c>
      <c r="AG9" t="s">
        <v>157</v>
      </c>
      <c r="AH9" t="s">
        <v>159</v>
      </c>
    </row>
    <row r="10" spans="1:34" x14ac:dyDescent="0.3">
      <c r="A10">
        <v>1</v>
      </c>
      <c r="B10" s="4" t="str">
        <f>V8</f>
        <v>갈양</v>
      </c>
      <c r="C10" s="9">
        <f t="shared" si="5"/>
        <v>256.2890625</v>
      </c>
      <c r="D10" s="9">
        <f>D9*$A$5</f>
        <v>18.065203199999999</v>
      </c>
      <c r="E10" s="9">
        <f t="shared" si="3"/>
        <v>4.2871776200000031</v>
      </c>
      <c r="F10" s="9">
        <v>1</v>
      </c>
      <c r="G10" s="9">
        <v>1</v>
      </c>
      <c r="H10" s="10">
        <f t="shared" si="0"/>
        <v>73.809787497195842</v>
      </c>
      <c r="I10" s="10">
        <f t="shared" si="1"/>
        <v>127.48907219813056</v>
      </c>
      <c r="J10" s="4"/>
      <c r="K10" s="4"/>
      <c r="Q10" t="s">
        <v>55</v>
      </c>
      <c r="R10" t="s">
        <v>24</v>
      </c>
      <c r="T10" t="s">
        <v>95</v>
      </c>
      <c r="U10" t="s">
        <v>94</v>
      </c>
      <c r="V10" t="s">
        <v>92</v>
      </c>
      <c r="W10" t="s">
        <v>93</v>
      </c>
      <c r="X10" t="s">
        <v>96</v>
      </c>
      <c r="AE10" s="8">
        <f>AE9*$AD$4</f>
        <v>29.859839999999991</v>
      </c>
      <c r="AF10" t="s">
        <v>154</v>
      </c>
      <c r="AG10" t="s">
        <v>157</v>
      </c>
      <c r="AH10" t="s">
        <v>159</v>
      </c>
    </row>
    <row r="11" spans="1:34" x14ac:dyDescent="0.3">
      <c r="A11">
        <v>1.5</v>
      </c>
      <c r="B11" s="4" t="str">
        <f>W8</f>
        <v>검양</v>
      </c>
      <c r="C11" s="9">
        <f t="shared" si="5"/>
        <v>384.43359375</v>
      </c>
      <c r="D11" s="9">
        <f>D10*$A$5</f>
        <v>19.87172352</v>
      </c>
      <c r="E11" s="9">
        <f t="shared" si="3"/>
        <v>4.7158953820000038</v>
      </c>
      <c r="F11" s="9">
        <v>1</v>
      </c>
      <c r="G11" s="9">
        <v>1</v>
      </c>
      <c r="H11" s="10">
        <f t="shared" si="0"/>
        <v>81.361153463606982</v>
      </c>
      <c r="I11" s="10">
        <f t="shared" si="1"/>
        <v>140.35157089573801</v>
      </c>
      <c r="J11" s="4"/>
      <c r="K11" s="11"/>
      <c r="Q11" t="s">
        <v>56</v>
      </c>
      <c r="R11" t="s">
        <v>18</v>
      </c>
      <c r="T11" t="s">
        <v>97</v>
      </c>
      <c r="U11" t="s">
        <v>20</v>
      </c>
      <c r="V11" t="s">
        <v>98</v>
      </c>
      <c r="W11" t="s">
        <v>99</v>
      </c>
      <c r="X11" t="s">
        <v>21</v>
      </c>
      <c r="Y11" t="s">
        <v>33</v>
      </c>
      <c r="AE11" s="8">
        <f t="shared" ref="AE11:AE12" si="6">AE10*$AD$4</f>
        <v>35.831807999999988</v>
      </c>
      <c r="AF11" t="s">
        <v>155</v>
      </c>
      <c r="AG11" t="s">
        <v>157</v>
      </c>
      <c r="AH11" t="s">
        <v>159</v>
      </c>
    </row>
    <row r="12" spans="1:34" x14ac:dyDescent="0.3">
      <c r="A12">
        <v>4</v>
      </c>
      <c r="B12" t="str">
        <f>T9</f>
        <v>핑돼</v>
      </c>
      <c r="C12" s="3">
        <f t="shared" si="5"/>
        <v>576.650390625</v>
      </c>
      <c r="D12" s="3">
        <f t="shared" ref="D12:D51" si="7">D11*$A$5</f>
        <v>21.858895872000002</v>
      </c>
      <c r="E12" s="3">
        <f t="shared" si="3"/>
        <v>5.1874849202000046</v>
      </c>
      <c r="F12" s="3">
        <v>1</v>
      </c>
      <c r="G12" s="3">
        <v>1</v>
      </c>
      <c r="H12" s="5">
        <f t="shared" si="0"/>
        <v>89.703437342164449</v>
      </c>
      <c r="I12" s="5">
        <f t="shared" si="1"/>
        <v>154.52417367344296</v>
      </c>
      <c r="K12" s="1"/>
      <c r="Q12" t="s">
        <v>57</v>
      </c>
      <c r="R12" t="s">
        <v>9</v>
      </c>
      <c r="T12" t="s">
        <v>26</v>
      </c>
      <c r="U12" t="s">
        <v>0</v>
      </c>
      <c r="V12" t="s">
        <v>2</v>
      </c>
      <c r="W12" t="s">
        <v>1</v>
      </c>
      <c r="AE12" s="8">
        <f t="shared" si="6"/>
        <v>42.998169599999983</v>
      </c>
      <c r="AF12" t="s">
        <v>156</v>
      </c>
      <c r="AG12" t="s">
        <v>157</v>
      </c>
      <c r="AH12" t="s">
        <v>159</v>
      </c>
    </row>
    <row r="13" spans="1:34" x14ac:dyDescent="0.3">
      <c r="A13">
        <v>7</v>
      </c>
      <c r="B13" t="str">
        <f>U9</f>
        <v>흰돼</v>
      </c>
      <c r="C13" s="3">
        <f t="shared" si="5"/>
        <v>864.9755859375</v>
      </c>
      <c r="D13" s="3">
        <f t="shared" si="7"/>
        <v>24.044785459200003</v>
      </c>
      <c r="E13" s="3">
        <f t="shared" si="3"/>
        <v>5.7062334122200058</v>
      </c>
      <c r="F13" s="3">
        <v>1</v>
      </c>
      <c r="G13" s="3">
        <v>1</v>
      </c>
      <c r="H13" s="5">
        <f t="shared" si="0"/>
        <v>98.923245000338994</v>
      </c>
      <c r="I13" s="5">
        <f t="shared" si="1"/>
        <v>170.14290032342601</v>
      </c>
      <c r="K13" s="1"/>
      <c r="Q13" t="s">
        <v>58</v>
      </c>
      <c r="R13" t="s">
        <v>32</v>
      </c>
      <c r="T13" t="s">
        <v>104</v>
      </c>
      <c r="U13" t="s">
        <v>105</v>
      </c>
      <c r="V13" t="s">
        <v>106</v>
      </c>
      <c r="W13" t="s">
        <v>107</v>
      </c>
      <c r="X13" t="s">
        <v>108</v>
      </c>
      <c r="Y13" t="s">
        <v>109</v>
      </c>
    </row>
    <row r="14" spans="1:34" x14ac:dyDescent="0.3">
      <c r="B14" t="str">
        <f>V9</f>
        <v>보돼</v>
      </c>
      <c r="C14" s="3">
        <f t="shared" si="5"/>
        <v>1297.46337890625</v>
      </c>
      <c r="D14" s="3">
        <f t="shared" si="7"/>
        <v>26.449264005120007</v>
      </c>
      <c r="E14" s="3">
        <f t="shared" si="3"/>
        <v>6.276856753442007</v>
      </c>
      <c r="F14" s="3">
        <v>1</v>
      </c>
      <c r="G14" s="3">
        <v>1</v>
      </c>
      <c r="H14" s="5">
        <f t="shared" si="0"/>
        <v>109.11742084836219</v>
      </c>
      <c r="I14" s="5">
        <f t="shared" si="1"/>
        <v>187.3584245877615</v>
      </c>
      <c r="K14" s="1"/>
      <c r="Q14" t="s">
        <v>59</v>
      </c>
      <c r="R14" t="s">
        <v>25</v>
      </c>
      <c r="T14" t="s">
        <v>100</v>
      </c>
      <c r="U14" t="s">
        <v>101</v>
      </c>
      <c r="V14" t="s">
        <v>102</v>
      </c>
      <c r="W14" t="s">
        <v>103</v>
      </c>
    </row>
    <row r="15" spans="1:34" x14ac:dyDescent="0.3">
      <c r="B15" t="str">
        <f>W9</f>
        <v>검돼</v>
      </c>
      <c r="C15" s="3">
        <f>C14*$A$4</f>
        <v>1556.9560546875</v>
      </c>
      <c r="D15" s="3">
        <f t="shared" si="7"/>
        <v>29.094190405632009</v>
      </c>
      <c r="E15" s="3">
        <f t="shared" si="3"/>
        <v>6.9045424287862085</v>
      </c>
      <c r="F15" s="3">
        <v>1</v>
      </c>
      <c r="G15" s="3">
        <v>1</v>
      </c>
      <c r="H15" s="5">
        <f t="shared" si="0"/>
        <v>120.39440306426545</v>
      </c>
      <c r="I15" s="5">
        <f t="shared" si="1"/>
        <v>206.33776046724898</v>
      </c>
      <c r="Q15" t="s">
        <v>60</v>
      </c>
      <c r="R15" t="s">
        <v>8</v>
      </c>
      <c r="T15" t="s">
        <v>3</v>
      </c>
      <c r="U15" t="s">
        <v>6</v>
      </c>
      <c r="V15" t="s">
        <v>5</v>
      </c>
      <c r="W15" t="s">
        <v>4</v>
      </c>
      <c r="X15" t="s">
        <v>39</v>
      </c>
    </row>
    <row r="16" spans="1:34" x14ac:dyDescent="0.3">
      <c r="B16" t="str">
        <f>T10</f>
        <v>갈사</v>
      </c>
      <c r="C16" s="3">
        <f>C15*$A$4</f>
        <v>1868.3472656249999</v>
      </c>
      <c r="D16" s="3">
        <f t="shared" si="7"/>
        <v>32.003609446195213</v>
      </c>
      <c r="E16" s="3">
        <f t="shared" si="3"/>
        <v>7.5949966716648296</v>
      </c>
      <c r="F16" s="3">
        <v>1</v>
      </c>
      <c r="G16" s="3">
        <v>1</v>
      </c>
      <c r="H16" s="5">
        <f t="shared" si="0"/>
        <v>132.87578392928313</v>
      </c>
      <c r="I16" s="5">
        <f t="shared" si="1"/>
        <v>227.26616355303469</v>
      </c>
      <c r="K16" s="1"/>
      <c r="Q16" t="s">
        <v>61</v>
      </c>
      <c r="R16" t="s">
        <v>11</v>
      </c>
      <c r="T16" t="s">
        <v>111</v>
      </c>
      <c r="U16" t="s">
        <v>113</v>
      </c>
      <c r="V16" t="s">
        <v>112</v>
      </c>
      <c r="W16" t="s">
        <v>114</v>
      </c>
      <c r="X16" t="s">
        <v>115</v>
      </c>
      <c r="Y16" t="s">
        <v>116</v>
      </c>
    </row>
    <row r="17" spans="2:26" x14ac:dyDescent="0.3">
      <c r="B17" t="str">
        <f>U10</f>
        <v>파사</v>
      </c>
      <c r="C17" s="3">
        <f>C16*$A$4</f>
        <v>2242.0167187499997</v>
      </c>
      <c r="D17" s="3">
        <f t="shared" si="7"/>
        <v>35.203970390814739</v>
      </c>
      <c r="E17" s="3">
        <f t="shared" si="3"/>
        <v>8.3544963388313125</v>
      </c>
      <c r="F17" s="3">
        <v>1</v>
      </c>
      <c r="G17" s="3">
        <v>1</v>
      </c>
      <c r="H17" s="5">
        <f t="shared" si="0"/>
        <v>146.69811039810671</v>
      </c>
      <c r="I17" s="5">
        <f t="shared" si="1"/>
        <v>250.34927862560167</v>
      </c>
    </row>
    <row r="18" spans="2:26" x14ac:dyDescent="0.3">
      <c r="B18" t="str">
        <f>V10</f>
        <v>흰사</v>
      </c>
      <c r="C18" s="3">
        <f>C17*$A$4</f>
        <v>2690.4200624999994</v>
      </c>
      <c r="D18" s="3">
        <f t="shared" si="7"/>
        <v>38.724367429896219</v>
      </c>
      <c r="E18" s="3">
        <f t="shared" si="3"/>
        <v>9.1899459727144439</v>
      </c>
      <c r="F18" s="3">
        <v>1</v>
      </c>
      <c r="G18" s="3">
        <v>1</v>
      </c>
      <c r="H18" s="5">
        <f t="shared" si="0"/>
        <v>162.01496660975067</v>
      </c>
      <c r="I18" s="5">
        <f t="shared" si="1"/>
        <v>275.81556993605074</v>
      </c>
    </row>
    <row r="19" spans="2:26" x14ac:dyDescent="0.3">
      <c r="B19" t="str">
        <f>W10</f>
        <v>검사</v>
      </c>
      <c r="C19" s="3">
        <f t="shared" ref="C19:C51" si="8">C18*$A$4</f>
        <v>3228.5040749999994</v>
      </c>
      <c r="D19" s="3">
        <f t="shared" si="7"/>
        <v>42.596804172885847</v>
      </c>
      <c r="E19" s="3">
        <f t="shared" si="3"/>
        <v>10.108940569985888</v>
      </c>
      <c r="F19" s="3">
        <v>1</v>
      </c>
      <c r="G19" s="3">
        <v>1</v>
      </c>
      <c r="H19" s="5">
        <f t="shared" si="0"/>
        <v>178.99938792864398</v>
      </c>
      <c r="I19" s="5">
        <f t="shared" si="1"/>
        <v>303.91907670160128</v>
      </c>
    </row>
    <row r="20" spans="2:26" x14ac:dyDescent="0.3">
      <c r="B20" t="str">
        <f>X10</f>
        <v>큰사슴</v>
      </c>
      <c r="C20" s="3">
        <f t="shared" si="8"/>
        <v>3874.2048899999991</v>
      </c>
      <c r="D20" s="3">
        <f t="shared" si="7"/>
        <v>46.856484590174432</v>
      </c>
      <c r="E20" s="3">
        <f t="shared" si="3"/>
        <v>11.119834626984478</v>
      </c>
      <c r="F20" s="3">
        <v>1</v>
      </c>
      <c r="G20" s="3">
        <v>1</v>
      </c>
      <c r="H20" s="5">
        <f t="shared" si="0"/>
        <v>197.84666555758946</v>
      </c>
      <c r="I20" s="5">
        <f t="shared" si="1"/>
        <v>334.94254359581549</v>
      </c>
      <c r="P20" t="s">
        <v>47</v>
      </c>
      <c r="Q20" t="s">
        <v>62</v>
      </c>
      <c r="R20" t="s">
        <v>12</v>
      </c>
      <c r="T20" t="s">
        <v>128</v>
      </c>
    </row>
    <row r="21" spans="2:26" x14ac:dyDescent="0.3">
      <c r="B21" t="str">
        <f>T11</f>
        <v>소</v>
      </c>
      <c r="C21" s="3">
        <f t="shared" si="8"/>
        <v>4649.0458679999983</v>
      </c>
      <c r="D21" s="3">
        <f t="shared" si="7"/>
        <v>51.542133049191882</v>
      </c>
      <c r="E21" s="3">
        <f t="shared" si="3"/>
        <v>12.231818089682926</v>
      </c>
      <c r="F21" s="3">
        <v>1</v>
      </c>
      <c r="G21" s="3">
        <v>1</v>
      </c>
      <c r="H21" s="5">
        <f t="shared" si="0"/>
        <v>218.77761210500651</v>
      </c>
      <c r="I21" s="5">
        <f t="shared" si="1"/>
        <v>369.20098461650252</v>
      </c>
      <c r="Q21" t="s">
        <v>63</v>
      </c>
      <c r="R21" t="s">
        <v>22</v>
      </c>
    </row>
    <row r="22" spans="2:26" x14ac:dyDescent="0.3">
      <c r="B22" t="str">
        <f>U11</f>
        <v>젖소</v>
      </c>
      <c r="C22" s="3">
        <f t="shared" si="8"/>
        <v>5578.855041599998</v>
      </c>
      <c r="D22" s="3">
        <f t="shared" si="7"/>
        <v>56.696346354111078</v>
      </c>
      <c r="E22" s="3">
        <f t="shared" si="3"/>
        <v>13.45499989865122</v>
      </c>
      <c r="F22" s="3">
        <v>1</v>
      </c>
      <c r="G22" s="3">
        <v>1</v>
      </c>
      <c r="H22" s="5">
        <f t="shared" si="0"/>
        <v>242.04237210541351</v>
      </c>
      <c r="I22" s="5">
        <f t="shared" si="1"/>
        <v>407.04574893809036</v>
      </c>
      <c r="Q22" t="s">
        <v>64</v>
      </c>
      <c r="R22" t="s">
        <v>17</v>
      </c>
    </row>
    <row r="23" spans="2:26" x14ac:dyDescent="0.3">
      <c r="B23" t="str">
        <f>V11</f>
        <v>흰소</v>
      </c>
      <c r="C23" s="3">
        <f t="shared" si="8"/>
        <v>6694.6260499199971</v>
      </c>
      <c r="D23" s="3">
        <f t="shared" si="7"/>
        <v>62.365980989522193</v>
      </c>
      <c r="E23" s="3">
        <f t="shared" si="3"/>
        <v>14.800499888516343</v>
      </c>
      <c r="F23" s="3">
        <v>1</v>
      </c>
      <c r="G23" s="3">
        <v>1</v>
      </c>
      <c r="H23" s="5">
        <f t="shared" si="0"/>
        <v>267.92487785174148</v>
      </c>
      <c r="I23" s="5">
        <f t="shared" si="1"/>
        <v>448.86916952242382</v>
      </c>
      <c r="Q23" t="s">
        <v>65</v>
      </c>
      <c r="R23" t="s">
        <v>7</v>
      </c>
    </row>
    <row r="24" spans="2:26" x14ac:dyDescent="0.3">
      <c r="B24" t="str">
        <f>W11</f>
        <v>검소</v>
      </c>
      <c r="C24" s="3">
        <f t="shared" si="8"/>
        <v>8033.5512599039957</v>
      </c>
      <c r="D24" s="3">
        <f t="shared" si="7"/>
        <v>68.602579088474414</v>
      </c>
      <c r="E24" s="3">
        <f t="shared" si="3"/>
        <v>16.280549877367978</v>
      </c>
      <c r="F24" s="3">
        <v>1</v>
      </c>
      <c r="G24" s="3">
        <v>1</v>
      </c>
      <c r="H24" s="5">
        <f t="shared" si="0"/>
        <v>296.74807056521746</v>
      </c>
      <c r="I24" s="5">
        <f t="shared" si="1"/>
        <v>495.10988976020076</v>
      </c>
      <c r="Q24" t="s">
        <v>66</v>
      </c>
      <c r="R24" t="s">
        <v>13</v>
      </c>
    </row>
    <row r="25" spans="2:26" x14ac:dyDescent="0.3">
      <c r="B25" t="str">
        <f>X11</f>
        <v>뿔소</v>
      </c>
      <c r="C25" s="3">
        <f t="shared" si="8"/>
        <v>9640.2615118847953</v>
      </c>
      <c r="D25" s="3">
        <f t="shared" si="7"/>
        <v>75.462836997321858</v>
      </c>
      <c r="E25" s="3">
        <f t="shared" si="3"/>
        <v>17.908604865104778</v>
      </c>
      <c r="F25" s="3">
        <v>1</v>
      </c>
      <c r="G25" s="3">
        <v>1</v>
      </c>
      <c r="H25" s="5">
        <f t="shared" si="0"/>
        <v>328.88003058498435</v>
      </c>
      <c r="I25" s="5">
        <f t="shared" si="1"/>
        <v>546.25898071171764</v>
      </c>
      <c r="Q25" t="s">
        <v>67</v>
      </c>
      <c r="R25" t="s">
        <v>10</v>
      </c>
    </row>
    <row r="26" spans="2:26" x14ac:dyDescent="0.3">
      <c r="B26" t="str">
        <f>Y11</f>
        <v>큰소굴</v>
      </c>
      <c r="C26" s="3">
        <f t="shared" si="8"/>
        <v>11568.313814261754</v>
      </c>
      <c r="D26" s="3">
        <f t="shared" si="7"/>
        <v>83.009120697054044</v>
      </c>
      <c r="E26" s="3">
        <f t="shared" si="3"/>
        <v>19.699465351615256</v>
      </c>
      <c r="F26" s="3">
        <v>1</v>
      </c>
      <c r="G26" s="3">
        <v>1</v>
      </c>
      <c r="H26" s="5">
        <f t="shared" si="0"/>
        <v>364.74118872900948</v>
      </c>
      <c r="I26" s="5">
        <f t="shared" si="1"/>
        <v>602.86698217324044</v>
      </c>
      <c r="Q26" t="s">
        <v>68</v>
      </c>
      <c r="R26" t="s">
        <v>15</v>
      </c>
    </row>
    <row r="27" spans="2:26" x14ac:dyDescent="0.3">
      <c r="B27" t="str">
        <f>T12</f>
        <v>말</v>
      </c>
      <c r="C27" s="3">
        <f t="shared" si="8"/>
        <v>13881.976577114105</v>
      </c>
      <c r="D27" s="3">
        <f t="shared" si="7"/>
        <v>91.310032766759463</v>
      </c>
      <c r="E27" s="3">
        <f t="shared" si="3"/>
        <v>21.669411886776782</v>
      </c>
      <c r="F27" s="3">
        <v>1</v>
      </c>
      <c r="G27" s="3">
        <v>1</v>
      </c>
      <c r="H27" s="5">
        <f t="shared" si="0"/>
        <v>404.81282525539774</v>
      </c>
      <c r="I27" s="5">
        <f t="shared" si="1"/>
        <v>665.55202549288947</v>
      </c>
      <c r="O27" t="s">
        <v>117</v>
      </c>
      <c r="P27" t="s">
        <v>49</v>
      </c>
      <c r="Q27" t="s">
        <v>69</v>
      </c>
      <c r="R27" t="s">
        <v>42</v>
      </c>
      <c r="S27" t="s">
        <v>41</v>
      </c>
      <c r="T27" t="s">
        <v>40</v>
      </c>
    </row>
    <row r="28" spans="2:26" x14ac:dyDescent="0.3">
      <c r="B28" t="str">
        <f>U12</f>
        <v>얼룩말</v>
      </c>
      <c r="C28" s="3">
        <f t="shared" si="8"/>
        <v>16658.371892536925</v>
      </c>
      <c r="D28" s="3">
        <f t="shared" si="7"/>
        <v>100.44103604343542</v>
      </c>
      <c r="E28" s="3">
        <f t="shared" si="3"/>
        <v>23.836353075454461</v>
      </c>
      <c r="F28" s="3">
        <v>1</v>
      </c>
      <c r="G28" s="3">
        <v>1</v>
      </c>
      <c r="H28" s="5">
        <f t="shared" si="0"/>
        <v>449.64710414165717</v>
      </c>
      <c r="I28" s="5">
        <f t="shared" si="1"/>
        <v>735.00922561599168</v>
      </c>
      <c r="Q28" t="s">
        <v>70</v>
      </c>
      <c r="R28" t="s">
        <v>14</v>
      </c>
      <c r="X28" t="s">
        <v>119</v>
      </c>
      <c r="Y28" t="s">
        <v>119</v>
      </c>
      <c r="Z28" t="s">
        <v>119</v>
      </c>
    </row>
    <row r="29" spans="2:26" x14ac:dyDescent="0.3">
      <c r="B29" t="str">
        <f>V12</f>
        <v>백마</v>
      </c>
      <c r="C29" s="3">
        <f t="shared" si="8"/>
        <v>19990.04627104431</v>
      </c>
      <c r="D29" s="3">
        <f t="shared" si="7"/>
        <v>110.48513964777896</v>
      </c>
      <c r="E29" s="3">
        <f t="shared" si="3"/>
        <v>26.219988382999908</v>
      </c>
      <c r="F29" s="3">
        <v>1</v>
      </c>
      <c r="G29" s="3">
        <v>1</v>
      </c>
      <c r="H29" s="5">
        <f t="shared" si="0"/>
        <v>499.87894015229364</v>
      </c>
      <c r="I29" s="5">
        <f t="shared" si="1"/>
        <v>812.02156524190457</v>
      </c>
      <c r="Q29" t="s">
        <v>71</v>
      </c>
      <c r="R29" t="s">
        <v>16</v>
      </c>
      <c r="X29" t="s">
        <v>119</v>
      </c>
      <c r="Z29" t="s">
        <v>120</v>
      </c>
    </row>
    <row r="30" spans="2:26" x14ac:dyDescent="0.3">
      <c r="B30" t="str">
        <f>W12</f>
        <v>흑마</v>
      </c>
      <c r="C30" s="3">
        <f t="shared" si="8"/>
        <v>23988.05552525317</v>
      </c>
      <c r="D30" s="3">
        <f t="shared" si="7"/>
        <v>121.53365361255688</v>
      </c>
      <c r="E30" s="3">
        <f t="shared" si="3"/>
        <v>28.841987221299902</v>
      </c>
      <c r="F30" s="3">
        <v>1</v>
      </c>
      <c r="G30" s="3">
        <v>1</v>
      </c>
      <c r="H30" s="5">
        <f t="shared" si="0"/>
        <v>556.2400561392526</v>
      </c>
      <c r="I30" s="5">
        <f t="shared" si="1"/>
        <v>897.47253641391478</v>
      </c>
      <c r="Q30" t="s">
        <v>72</v>
      </c>
      <c r="R30" t="s">
        <v>19</v>
      </c>
      <c r="X30" t="s">
        <v>119</v>
      </c>
      <c r="Z30" t="s">
        <v>121</v>
      </c>
    </row>
    <row r="31" spans="2:26" x14ac:dyDescent="0.3">
      <c r="B31" t="str">
        <f>T14</f>
        <v>곰</v>
      </c>
      <c r="C31" s="3">
        <f t="shared" si="8"/>
        <v>28785.666630303804</v>
      </c>
      <c r="D31" s="3">
        <f t="shared" si="7"/>
        <v>133.68701897381257</v>
      </c>
      <c r="E31" s="3">
        <f t="shared" si="3"/>
        <v>31.726185943429897</v>
      </c>
      <c r="F31" s="3">
        <v>1</v>
      </c>
      <c r="G31" s="3">
        <v>1</v>
      </c>
      <c r="H31" s="5">
        <f t="shared" si="0"/>
        <v>619.57566033897069</v>
      </c>
      <c r="I31" s="5">
        <f t="shared" si="1"/>
        <v>992.36085577916833</v>
      </c>
      <c r="X31" t="s">
        <v>118</v>
      </c>
      <c r="Z31" t="s">
        <v>122</v>
      </c>
    </row>
    <row r="32" spans="2:26" x14ac:dyDescent="0.3">
      <c r="B32" t="str">
        <f>U14</f>
        <v>보곰</v>
      </c>
      <c r="C32" s="3">
        <f t="shared" si="8"/>
        <v>34542.799956364564</v>
      </c>
      <c r="D32" s="3">
        <f t="shared" si="7"/>
        <v>147.05572087119384</v>
      </c>
      <c r="E32" s="3">
        <f t="shared" si="3"/>
        <v>34.898804537772889</v>
      </c>
      <c r="F32" s="3">
        <v>1</v>
      </c>
      <c r="G32" s="3">
        <v>1</v>
      </c>
      <c r="H32" s="5">
        <f t="shared" si="0"/>
        <v>690.86426066167701</v>
      </c>
      <c r="I32" s="5">
        <f t="shared" si="1"/>
        <v>1097.8176308829579</v>
      </c>
      <c r="O32" s="4" t="s">
        <v>110</v>
      </c>
      <c r="P32" t="s">
        <v>50</v>
      </c>
      <c r="Q32" t="s">
        <v>73</v>
      </c>
      <c r="R32" t="s">
        <v>43</v>
      </c>
      <c r="S32" t="s">
        <v>118</v>
      </c>
      <c r="T32" t="s">
        <v>118</v>
      </c>
      <c r="U32" t="s">
        <v>118</v>
      </c>
      <c r="V32" t="s">
        <v>118</v>
      </c>
      <c r="W32" t="s">
        <v>118</v>
      </c>
      <c r="X32" t="s">
        <v>118</v>
      </c>
      <c r="Z32" t="s">
        <v>123</v>
      </c>
    </row>
    <row r="33" spans="2:29" x14ac:dyDescent="0.3">
      <c r="B33" t="str">
        <f>V14</f>
        <v>흰곰</v>
      </c>
      <c r="C33" s="3">
        <f t="shared" si="8"/>
        <v>41451.359947637473</v>
      </c>
      <c r="D33" s="3">
        <f t="shared" si="7"/>
        <v>161.76129295831325</v>
      </c>
      <c r="E33" s="3">
        <f t="shared" si="3"/>
        <v>38.388684991550178</v>
      </c>
      <c r="F33" s="3">
        <v>1</v>
      </c>
      <c r="G33" s="3">
        <v>1</v>
      </c>
      <c r="H33" s="5">
        <f t="shared" si="0"/>
        <v>771.24123821730404</v>
      </c>
      <c r="I33" s="5">
        <f t="shared" si="1"/>
        <v>1215.1264282975601</v>
      </c>
      <c r="P33" s="7"/>
      <c r="Q33" s="7"/>
      <c r="R33" s="7"/>
      <c r="S33" s="7"/>
      <c r="T33" s="7"/>
      <c r="U33" s="7"/>
      <c r="V33" s="7"/>
      <c r="W33" s="7"/>
      <c r="Z33" t="s">
        <v>124</v>
      </c>
    </row>
    <row r="34" spans="2:29" x14ac:dyDescent="0.3">
      <c r="B34" t="str">
        <f>W14</f>
        <v>흑곰</v>
      </c>
      <c r="C34" s="3">
        <f t="shared" si="8"/>
        <v>49741.631937164966</v>
      </c>
      <c r="D34" s="3">
        <f t="shared" si="7"/>
        <v>177.93742225414459</v>
      </c>
      <c r="E34" s="3">
        <f t="shared" si="3"/>
        <v>42.227553490705198</v>
      </c>
      <c r="F34" s="3">
        <v>1</v>
      </c>
      <c r="G34" s="3">
        <v>1</v>
      </c>
      <c r="H34" s="5">
        <f t="shared" si="0"/>
        <v>862.02692934128015</v>
      </c>
      <c r="I34" s="5">
        <f t="shared" si="1"/>
        <v>1345.7467826621466</v>
      </c>
      <c r="P34" t="s">
        <v>51</v>
      </c>
      <c r="Q34" t="s">
        <v>74</v>
      </c>
      <c r="R34" t="s">
        <v>34</v>
      </c>
      <c r="S34" t="s">
        <v>36</v>
      </c>
      <c r="T34" t="s">
        <v>37</v>
      </c>
      <c r="Z34" t="s">
        <v>119</v>
      </c>
    </row>
    <row r="35" spans="2:29" x14ac:dyDescent="0.3">
      <c r="B35" t="str">
        <f>T13</f>
        <v>새</v>
      </c>
      <c r="C35" s="3">
        <f t="shared" si="8"/>
        <v>59689.958324597959</v>
      </c>
      <c r="D35" s="3">
        <f t="shared" si="7"/>
        <v>195.73116447955906</v>
      </c>
      <c r="E35" s="3">
        <f t="shared" si="3"/>
        <v>46.450308839775722</v>
      </c>
      <c r="F35" s="3">
        <v>1</v>
      </c>
      <c r="G35" s="3">
        <v>1</v>
      </c>
      <c r="H35" s="5">
        <f t="shared" si="0"/>
        <v>964.76011871112541</v>
      </c>
      <c r="I35" s="5">
        <f t="shared" si="1"/>
        <v>1491.3417918855062</v>
      </c>
      <c r="Q35" t="s">
        <v>75</v>
      </c>
      <c r="R35" t="s">
        <v>27</v>
      </c>
      <c r="S35" t="s">
        <v>28</v>
      </c>
      <c r="T35" t="s">
        <v>29</v>
      </c>
      <c r="U35" t="s">
        <v>30</v>
      </c>
      <c r="V35" t="s">
        <v>31</v>
      </c>
      <c r="W35" t="s">
        <v>35</v>
      </c>
      <c r="Z35" t="s">
        <v>125</v>
      </c>
    </row>
    <row r="36" spans="2:29" x14ac:dyDescent="0.3">
      <c r="B36" t="str">
        <f>U13</f>
        <v>파새</v>
      </c>
      <c r="C36" s="3">
        <f t="shared" si="8"/>
        <v>71627.949989517554</v>
      </c>
      <c r="D36" s="3">
        <f t="shared" si="7"/>
        <v>215.30428092751498</v>
      </c>
      <c r="E36" s="3">
        <f t="shared" si="3"/>
        <v>51.095339723753298</v>
      </c>
      <c r="F36" s="3">
        <v>1</v>
      </c>
      <c r="G36" s="3">
        <v>1</v>
      </c>
      <c r="H36" s="5">
        <f t="shared" si="0"/>
        <v>1081.2380312694559</v>
      </c>
      <c r="I36" s="5">
        <f t="shared" si="1"/>
        <v>1653.8105715322022</v>
      </c>
      <c r="Q36" t="s">
        <v>76</v>
      </c>
      <c r="R36" t="s">
        <v>44</v>
      </c>
      <c r="Z36" t="s">
        <v>126</v>
      </c>
    </row>
    <row r="37" spans="2:29" x14ac:dyDescent="0.3">
      <c r="B37" t="str">
        <f>V13</f>
        <v>핑새</v>
      </c>
      <c r="C37" s="3">
        <f t="shared" si="8"/>
        <v>85953.539987421056</v>
      </c>
      <c r="D37" s="3">
        <f t="shared" si="7"/>
        <v>236.8347090202665</v>
      </c>
      <c r="E37" s="3">
        <f t="shared" si="3"/>
        <v>56.204873696128629</v>
      </c>
      <c r="F37" s="3">
        <v>1</v>
      </c>
      <c r="G37" s="3">
        <v>1</v>
      </c>
      <c r="H37" s="5">
        <f t="shared" si="0"/>
        <v>1213.564134227935</v>
      </c>
      <c r="I37" s="5">
        <f t="shared" si="1"/>
        <v>1835.3264952397783</v>
      </c>
      <c r="Q37" t="s">
        <v>77</v>
      </c>
      <c r="R37" t="s">
        <v>38</v>
      </c>
      <c r="Z37" t="s">
        <v>127</v>
      </c>
    </row>
    <row r="38" spans="2:29" x14ac:dyDescent="0.3">
      <c r="B38" t="str">
        <f>W13</f>
        <v>보새</v>
      </c>
      <c r="C38" s="3">
        <f t="shared" si="8"/>
        <v>103144.24798490526</v>
      </c>
      <c r="D38" s="3">
        <f t="shared" si="7"/>
        <v>260.5181799222932</v>
      </c>
      <c r="E38" s="3">
        <f t="shared" si="3"/>
        <v>61.825361065741497</v>
      </c>
      <c r="F38" s="3">
        <v>1</v>
      </c>
      <c r="G38" s="3">
        <v>1</v>
      </c>
      <c r="H38" s="5">
        <f t="shared" si="0"/>
        <v>1364.2053304468845</v>
      </c>
      <c r="I38" s="5">
        <f t="shared" si="1"/>
        <v>2038.3823332945267</v>
      </c>
    </row>
    <row r="39" spans="2:29" x14ac:dyDescent="0.3">
      <c r="B39" t="str">
        <f>X13</f>
        <v>흰새</v>
      </c>
      <c r="C39" s="3">
        <f t="shared" si="8"/>
        <v>123773.09758188631</v>
      </c>
      <c r="D39" s="3">
        <f t="shared" si="7"/>
        <v>286.56999791452256</v>
      </c>
      <c r="E39" s="3">
        <f t="shared" si="3"/>
        <v>68.007897172315651</v>
      </c>
      <c r="F39" s="3">
        <v>1</v>
      </c>
      <c r="G39" s="3">
        <v>1</v>
      </c>
      <c r="H39" s="5">
        <f t="shared" si="0"/>
        <v>1536.0604506749214</v>
      </c>
      <c r="I39" s="5">
        <f t="shared" si="1"/>
        <v>2265.8436247462123</v>
      </c>
    </row>
    <row r="40" spans="2:29" x14ac:dyDescent="0.3">
      <c r="B40" t="str">
        <f>Y13</f>
        <v>검새</v>
      </c>
      <c r="C40" s="3">
        <f t="shared" si="8"/>
        <v>148527.71709826356</v>
      </c>
      <c r="D40" s="3">
        <f t="shared" si="7"/>
        <v>315.22699770597484</v>
      </c>
      <c r="E40" s="3">
        <f t="shared" si="3"/>
        <v>74.808686889547218</v>
      </c>
      <c r="F40" s="3">
        <v>1</v>
      </c>
      <c r="G40" s="3">
        <v>1</v>
      </c>
      <c r="H40" s="5">
        <f t="shared" si="0"/>
        <v>1732.5423462342651</v>
      </c>
      <c r="I40" s="5">
        <f t="shared" si="1"/>
        <v>2521.0118875487342</v>
      </c>
    </row>
    <row r="41" spans="2:29" x14ac:dyDescent="0.3">
      <c r="B41" t="str">
        <f>T15</f>
        <v>호랑</v>
      </c>
      <c r="C41" s="3">
        <f>C40*$A$4</f>
        <v>178233.26051791626</v>
      </c>
      <c r="D41" s="3">
        <f t="shared" si="7"/>
        <v>346.74969747657235</v>
      </c>
      <c r="E41" s="3">
        <f t="shared" si="3"/>
        <v>82.289555578501947</v>
      </c>
      <c r="F41" s="3">
        <v>1</v>
      </c>
      <c r="G41" s="3">
        <v>1</v>
      </c>
      <c r="H41" s="5">
        <f t="shared" si="0"/>
        <v>1957.6763599528322</v>
      </c>
      <c r="I41" s="5">
        <f t="shared" si="1"/>
        <v>2807.6995957003683</v>
      </c>
    </row>
    <row r="42" spans="2:29" x14ac:dyDescent="0.3">
      <c r="B42" t="str">
        <f>U15</f>
        <v>갈호랑</v>
      </c>
      <c r="C42" s="3">
        <f t="shared" si="8"/>
        <v>213879.9126214995</v>
      </c>
      <c r="D42" s="3">
        <f t="shared" si="7"/>
        <v>381.42466722422961</v>
      </c>
      <c r="E42" s="3">
        <f t="shared" si="3"/>
        <v>90.518511136352146</v>
      </c>
      <c r="F42" s="3">
        <v>1</v>
      </c>
      <c r="G42" s="3">
        <v>1</v>
      </c>
      <c r="H42" s="5">
        <f t="shared" si="0"/>
        <v>2216.2185286532354</v>
      </c>
      <c r="I42" s="5">
        <f t="shared" si="1"/>
        <v>3130.319243740485</v>
      </c>
    </row>
    <row r="43" spans="2:29" x14ac:dyDescent="0.3">
      <c r="B43" t="str">
        <f>V15</f>
        <v>백호랑</v>
      </c>
      <c r="C43" s="3">
        <f t="shared" si="8"/>
        <v>256655.89514579938</v>
      </c>
      <c r="D43" s="3">
        <f t="shared" si="7"/>
        <v>419.56713394665258</v>
      </c>
      <c r="E43" s="3">
        <f t="shared" si="3"/>
        <v>99.570362249987369</v>
      </c>
      <c r="F43" s="3">
        <v>1</v>
      </c>
      <c r="G43" s="3">
        <v>1</v>
      </c>
      <c r="H43" s="5">
        <f t="shared" si="0"/>
        <v>2513.7975660917537</v>
      </c>
      <c r="I43" s="5">
        <f t="shared" si="1"/>
        <v>3493.9892911633306</v>
      </c>
      <c r="S43" s="6" t="s">
        <v>137</v>
      </c>
      <c r="T43" s="6" t="s">
        <v>45</v>
      </c>
      <c r="U43" s="6" t="s">
        <v>23</v>
      </c>
      <c r="V43" s="6" t="s">
        <v>24</v>
      </c>
      <c r="W43" s="6" t="s">
        <v>18</v>
      </c>
      <c r="X43" s="6" t="s">
        <v>9</v>
      </c>
      <c r="Y43" s="6" t="s">
        <v>25</v>
      </c>
      <c r="Z43" s="6" t="s">
        <v>32</v>
      </c>
      <c r="AA43" s="6" t="s">
        <v>8</v>
      </c>
      <c r="AB43" s="6" t="s">
        <v>11</v>
      </c>
    </row>
    <row r="44" spans="2:29" x14ac:dyDescent="0.3">
      <c r="B44" t="str">
        <f>W15</f>
        <v>흑호랑</v>
      </c>
      <c r="C44" s="3">
        <f t="shared" si="8"/>
        <v>307987.07417495927</v>
      </c>
      <c r="D44" s="3">
        <f t="shared" si="7"/>
        <v>461.52384734131789</v>
      </c>
      <c r="E44" s="3">
        <f t="shared" si="3"/>
        <v>109.52739847498611</v>
      </c>
      <c r="F44" s="3">
        <v>1</v>
      </c>
      <c r="G44" s="3">
        <v>1</v>
      </c>
      <c r="H44" s="5">
        <f t="shared" si="0"/>
        <v>2857.0855160344954</v>
      </c>
      <c r="I44" s="5">
        <f t="shared" si="1"/>
        <v>3904.6603491687079</v>
      </c>
      <c r="S44" t="s">
        <v>138</v>
      </c>
      <c r="T44" t="s">
        <v>139</v>
      </c>
      <c r="U44" t="s">
        <v>140</v>
      </c>
      <c r="V44" t="s">
        <v>141</v>
      </c>
      <c r="W44" t="s">
        <v>142</v>
      </c>
      <c r="X44" t="s">
        <v>143</v>
      </c>
      <c r="Y44" t="s">
        <v>143</v>
      </c>
      <c r="Z44" t="s">
        <v>144</v>
      </c>
      <c r="AA44" t="s">
        <v>145</v>
      </c>
      <c r="AB44" t="s">
        <v>146</v>
      </c>
    </row>
    <row r="45" spans="2:29" x14ac:dyDescent="0.3">
      <c r="B45" t="str">
        <f>X15</f>
        <v>큰늑대</v>
      </c>
      <c r="C45" s="3">
        <f t="shared" si="8"/>
        <v>369584.48900995112</v>
      </c>
      <c r="D45" s="3">
        <f t="shared" si="7"/>
        <v>507.67623207544972</v>
      </c>
      <c r="E45" s="3">
        <f t="shared" si="3"/>
        <v>120.48013832248473</v>
      </c>
      <c r="F45" s="3">
        <v>1</v>
      </c>
      <c r="G45" s="3">
        <v>1</v>
      </c>
      <c r="H45" s="5">
        <f t="shared" si="0"/>
        <v>3254.0029815715598</v>
      </c>
      <c r="I45" s="5">
        <f t="shared" si="1"/>
        <v>4369.265660041322</v>
      </c>
    </row>
    <row r="46" spans="2:29" x14ac:dyDescent="0.3">
      <c r="B46" t="str">
        <f>T16</f>
        <v>암사자</v>
      </c>
      <c r="C46" s="3">
        <f t="shared" si="8"/>
        <v>443501.38681194134</v>
      </c>
      <c r="D46" s="3">
        <f t="shared" si="7"/>
        <v>558.44385528299472</v>
      </c>
      <c r="E46" s="3">
        <f t="shared" si="3"/>
        <v>132.52815215473322</v>
      </c>
      <c r="F46" s="3">
        <v>1</v>
      </c>
      <c r="G46" s="3">
        <v>1</v>
      </c>
      <c r="H46" s="5">
        <f t="shared" si="0"/>
        <v>3713.9660655883899</v>
      </c>
      <c r="I46" s="5">
        <f t="shared" si="1"/>
        <v>4895.9007499519039</v>
      </c>
      <c r="S46" s="6" t="s">
        <v>12</v>
      </c>
      <c r="T46" s="6" t="s">
        <v>22</v>
      </c>
      <c r="U46" s="6" t="s">
        <v>17</v>
      </c>
      <c r="V46" s="6" t="s">
        <v>7</v>
      </c>
      <c r="W46" s="6" t="s">
        <v>13</v>
      </c>
      <c r="X46" s="6" t="s">
        <v>10</v>
      </c>
      <c r="Y46" s="6" t="s">
        <v>15</v>
      </c>
      <c r="Z46" s="6" t="s">
        <v>42</v>
      </c>
      <c r="AA46" s="6" t="s">
        <v>14</v>
      </c>
      <c r="AB46" s="6" t="s">
        <v>16</v>
      </c>
      <c r="AC46" s="6" t="s">
        <v>19</v>
      </c>
    </row>
    <row r="47" spans="2:29" x14ac:dyDescent="0.3">
      <c r="B47" t="str">
        <f>U16</f>
        <v>숫사자</v>
      </c>
      <c r="C47" s="3">
        <f t="shared" si="8"/>
        <v>532201.66417432961</v>
      </c>
      <c r="D47" s="3">
        <f t="shared" si="7"/>
        <v>614.28824081129426</v>
      </c>
      <c r="E47" s="3">
        <f t="shared" si="3"/>
        <v>145.78096737020655</v>
      </c>
      <c r="F47" s="3">
        <v>1</v>
      </c>
      <c r="G47" s="3">
        <v>1</v>
      </c>
      <c r="H47" s="5">
        <f t="shared" si="0"/>
        <v>4248.1836430374351</v>
      </c>
      <c r="I47" s="5">
        <f t="shared" si="1"/>
        <v>5494.0381388738979</v>
      </c>
      <c r="S47" t="s">
        <v>138</v>
      </c>
      <c r="T47" t="s">
        <v>139</v>
      </c>
      <c r="U47" t="s">
        <v>140</v>
      </c>
      <c r="V47" t="s">
        <v>141</v>
      </c>
      <c r="W47" t="s">
        <v>142</v>
      </c>
      <c r="X47" t="s">
        <v>143</v>
      </c>
      <c r="Y47" t="s">
        <v>143</v>
      </c>
      <c r="Z47" t="s">
        <v>144</v>
      </c>
      <c r="AA47" t="s">
        <v>145</v>
      </c>
      <c r="AB47" t="s">
        <v>146</v>
      </c>
      <c r="AC47" t="s">
        <v>146</v>
      </c>
    </row>
    <row r="48" spans="2:29" x14ac:dyDescent="0.3">
      <c r="B48" t="str">
        <f>V16</f>
        <v>흰사자</v>
      </c>
      <c r="C48" s="3">
        <f t="shared" si="8"/>
        <v>638641.9970091955</v>
      </c>
      <c r="D48" s="3">
        <f t="shared" si="7"/>
        <v>675.71706489242376</v>
      </c>
      <c r="E48" s="3">
        <f t="shared" si="3"/>
        <v>160.35906410722723</v>
      </c>
      <c r="F48" s="3">
        <v>1</v>
      </c>
      <c r="G48" s="3">
        <v>1</v>
      </c>
      <c r="H48" s="5">
        <f t="shared" si="0"/>
        <v>4870.0153821183267</v>
      </c>
      <c r="I48" s="5">
        <f t="shared" si="1"/>
        <v>6174.7842026127209</v>
      </c>
    </row>
    <row r="49" spans="2:22" x14ac:dyDescent="0.3">
      <c r="B49" t="str">
        <f>W16</f>
        <v>흰숫사자</v>
      </c>
      <c r="C49" s="3">
        <f t="shared" si="8"/>
        <v>766370.39641103463</v>
      </c>
      <c r="D49" s="3">
        <f t="shared" si="7"/>
        <v>743.28877138166615</v>
      </c>
      <c r="E49" s="3">
        <f t="shared" si="3"/>
        <v>176.39497051794996</v>
      </c>
      <c r="F49" s="3">
        <v>1</v>
      </c>
      <c r="G49" s="3">
        <v>1</v>
      </c>
      <c r="H49" s="5">
        <f t="shared" si="0"/>
        <v>5595.4031038105095</v>
      </c>
      <c r="I49" s="5">
        <f t="shared" si="1"/>
        <v>6951.1867451942271</v>
      </c>
      <c r="S49" s="6" t="s">
        <v>43</v>
      </c>
    </row>
    <row r="50" spans="2:22" x14ac:dyDescent="0.3">
      <c r="B50" t="str">
        <f>X16</f>
        <v>검사자</v>
      </c>
      <c r="C50" s="3">
        <f t="shared" si="8"/>
        <v>919644.47569324158</v>
      </c>
      <c r="D50" s="3">
        <f t="shared" si="7"/>
        <v>817.61764851983287</v>
      </c>
      <c r="E50" s="3">
        <f t="shared" si="3"/>
        <v>194.03446756974498</v>
      </c>
      <c r="F50" s="3">
        <v>1</v>
      </c>
      <c r="G50" s="3">
        <v>1</v>
      </c>
      <c r="H50" s="5">
        <f t="shared" si="0"/>
        <v>6443.390696202785</v>
      </c>
      <c r="I50" s="5">
        <f t="shared" si="1"/>
        <v>7838.603607721132</v>
      </c>
      <c r="S50" t="s">
        <v>138</v>
      </c>
    </row>
    <row r="51" spans="2:22" x14ac:dyDescent="0.3">
      <c r="B51" t="str">
        <f>Y16</f>
        <v>검숫사자</v>
      </c>
      <c r="C51" s="3">
        <f t="shared" si="8"/>
        <v>1103573.3708318898</v>
      </c>
      <c r="D51" s="3">
        <f t="shared" si="7"/>
        <v>899.37941337181621</v>
      </c>
      <c r="E51" s="3">
        <f t="shared" si="3"/>
        <v>213.43791432671949</v>
      </c>
      <c r="F51" s="3">
        <v>1</v>
      </c>
      <c r="G51" s="3">
        <v>1</v>
      </c>
      <c r="H51" s="5">
        <f t="shared" si="0"/>
        <v>7436.7509770566439</v>
      </c>
      <c r="I51" s="5">
        <f t="shared" si="1"/>
        <v>8855.1447759822986</v>
      </c>
    </row>
    <row r="52" spans="2:22" x14ac:dyDescent="0.3">
      <c r="C52" s="3">
        <f t="shared" ref="C52:C63" si="9">C51*$A$4</f>
        <v>1324288.0449982677</v>
      </c>
      <c r="D52" s="3">
        <f t="shared" ref="D52:D73" si="10">D51*$A$5</f>
        <v>989.31735470899787</v>
      </c>
      <c r="E52" s="3">
        <f t="shared" ref="E52:E73" si="11">E51*$A$5</f>
        <v>234.78170575939146</v>
      </c>
      <c r="F52" s="3">
        <v>1</v>
      </c>
      <c r="G52" s="3">
        <v>1</v>
      </c>
      <c r="H52" s="5">
        <f t="shared" ref="H52:H73" si="12">(C52*D52*E52*$A$8)/(C52*$A$10)+D52*$A$12</f>
        <v>8602.7417403549407</v>
      </c>
      <c r="I52" s="5">
        <f t="shared" ref="I52:I73" si="13">(C52*D52*E52*$A$8)/(C52*$A$11)+D52*$A$13</f>
        <v>10022.203030642284</v>
      </c>
      <c r="S52" s="6" t="s">
        <v>34</v>
      </c>
      <c r="T52" s="6" t="s">
        <v>27</v>
      </c>
      <c r="U52" s="6" t="s">
        <v>44</v>
      </c>
      <c r="V52" s="6" t="s">
        <v>38</v>
      </c>
    </row>
    <row r="53" spans="2:22" x14ac:dyDescent="0.3">
      <c r="C53" s="3">
        <f t="shared" si="9"/>
        <v>1589145.6539979212</v>
      </c>
      <c r="D53" s="3">
        <f t="shared" si="10"/>
        <v>1088.2490901798978</v>
      </c>
      <c r="E53" s="3">
        <f t="shared" si="11"/>
        <v>258.2598763353306</v>
      </c>
      <c r="F53" s="3">
        <v>1</v>
      </c>
      <c r="G53" s="3">
        <v>1</v>
      </c>
      <c r="H53" s="5">
        <f t="shared" si="12"/>
        <v>9974.0178697575211</v>
      </c>
      <c r="I53" s="5">
        <f t="shared" si="13"/>
        <v>11365.091303951238</v>
      </c>
      <c r="S53" t="s">
        <v>138</v>
      </c>
      <c r="T53" t="s">
        <v>138</v>
      </c>
      <c r="U53" t="s">
        <v>138</v>
      </c>
      <c r="V53" t="s">
        <v>138</v>
      </c>
    </row>
    <row r="54" spans="2:22" x14ac:dyDescent="0.3">
      <c r="C54" s="3">
        <f t="shared" si="9"/>
        <v>1906974.7847975052</v>
      </c>
      <c r="D54" s="3">
        <f t="shared" si="10"/>
        <v>1197.0739991978878</v>
      </c>
      <c r="E54" s="3">
        <f t="shared" si="11"/>
        <v>284.08586396886369</v>
      </c>
      <c r="F54" s="3">
        <v>1</v>
      </c>
      <c r="G54" s="3">
        <v>1</v>
      </c>
      <c r="H54" s="5">
        <f t="shared" si="12"/>
        <v>11589.732022727447</v>
      </c>
      <c r="I54" s="5">
        <f t="shared" si="13"/>
        <v>12913.808678342479</v>
      </c>
    </row>
    <row r="55" spans="2:22" x14ac:dyDescent="0.3">
      <c r="C55" s="3">
        <f t="shared" si="9"/>
        <v>2288369.7417570064</v>
      </c>
      <c r="D55" s="3">
        <f t="shared" si="10"/>
        <v>1316.7813991176768</v>
      </c>
      <c r="E55" s="3">
        <f t="shared" si="11"/>
        <v>312.49445036575008</v>
      </c>
      <c r="F55" s="3">
        <v>1</v>
      </c>
      <c r="G55" s="3">
        <v>1</v>
      </c>
      <c r="H55" s="5">
        <f t="shared" si="12"/>
        <v>13496.863187853143</v>
      </c>
      <c r="I55" s="5">
        <f t="shared" si="13"/>
        <v>14703.961521412028</v>
      </c>
    </row>
    <row r="56" spans="2:22" x14ac:dyDescent="0.3">
      <c r="C56" s="3">
        <f t="shared" si="9"/>
        <v>2746043.6901084078</v>
      </c>
      <c r="D56" s="3">
        <f t="shared" si="10"/>
        <v>1448.4595390294446</v>
      </c>
      <c r="E56" s="3">
        <f t="shared" si="11"/>
        <v>343.74389540232511</v>
      </c>
      <c r="F56" s="3">
        <v>1</v>
      </c>
      <c r="G56" s="3">
        <v>1</v>
      </c>
      <c r="H56" s="5">
        <f t="shared" si="12"/>
        <v>15751.820641690527</v>
      </c>
      <c r="I56" s="5">
        <f t="shared" si="13"/>
        <v>16777.871763587944</v>
      </c>
    </row>
    <row r="57" spans="2:22" x14ac:dyDescent="0.3">
      <c r="C57" s="3">
        <f t="shared" si="9"/>
        <v>3295252.4281300893</v>
      </c>
      <c r="D57" s="3">
        <f t="shared" si="10"/>
        <v>1593.3054929323891</v>
      </c>
      <c r="E57" s="3">
        <f t="shared" si="11"/>
        <v>378.11828494255764</v>
      </c>
      <c r="F57" s="3">
        <v>1</v>
      </c>
      <c r="G57" s="3">
        <v>1</v>
      </c>
      <c r="H57" s="5">
        <f t="shared" si="12"/>
        <v>18422.380779272582</v>
      </c>
      <c r="I57" s="5">
        <f t="shared" si="13"/>
        <v>19185.91098888874</v>
      </c>
    </row>
    <row r="58" spans="2:22" x14ac:dyDescent="0.3">
      <c r="C58" s="3">
        <f t="shared" si="9"/>
        <v>3954302.913756107</v>
      </c>
      <c r="D58" s="3">
        <f t="shared" si="10"/>
        <v>1752.6360422256282</v>
      </c>
      <c r="E58" s="3">
        <f t="shared" si="11"/>
        <v>415.93011343681343</v>
      </c>
      <c r="F58" s="3">
        <v>1</v>
      </c>
      <c r="G58" s="3">
        <v>1</v>
      </c>
      <c r="H58" s="5">
        <f t="shared" si="12"/>
        <v>21590.02632602958</v>
      </c>
      <c r="I58" s="5">
        <f t="shared" si="13"/>
        <v>21988.107066997443</v>
      </c>
    </row>
    <row r="59" spans="2:22" x14ac:dyDescent="0.3">
      <c r="C59" s="3">
        <f t="shared" si="9"/>
        <v>4745163.496507328</v>
      </c>
      <c r="D59" s="3">
        <f t="shared" si="10"/>
        <v>1927.8996464481911</v>
      </c>
      <c r="E59" s="3">
        <f t="shared" si="11"/>
        <v>457.52312478049481</v>
      </c>
      <c r="F59" s="3">
        <v>1</v>
      </c>
      <c r="G59" s="3">
        <v>1</v>
      </c>
      <c r="H59" s="5">
        <f t="shared" si="12"/>
        <v>25352.771995916519</v>
      </c>
      <c r="I59" s="5">
        <f t="shared" si="13"/>
        <v>25256.079798553175</v>
      </c>
    </row>
    <row r="60" spans="2:22" x14ac:dyDescent="0.3">
      <c r="C60" s="3">
        <f t="shared" si="9"/>
        <v>5694196.1958087934</v>
      </c>
      <c r="D60" s="3">
        <f t="shared" si="10"/>
        <v>2120.6896110930102</v>
      </c>
      <c r="E60" s="3">
        <f t="shared" si="11"/>
        <v>503.27543725854434</v>
      </c>
      <c r="F60" s="3">
        <v>1</v>
      </c>
      <c r="G60" s="3">
        <v>1</v>
      </c>
      <c r="H60" s="5">
        <f t="shared" si="12"/>
        <v>29828.578270621783</v>
      </c>
      <c r="I60" s="5">
        <f t="shared" si="13"/>
        <v>29075.373828484233</v>
      </c>
    </row>
    <row r="61" spans="2:22" x14ac:dyDescent="0.3">
      <c r="C61" s="3">
        <f t="shared" si="9"/>
        <v>6833035.4349705521</v>
      </c>
      <c r="D61" s="3">
        <f t="shared" si="10"/>
        <v>2332.7585722023114</v>
      </c>
      <c r="E61" s="3">
        <f t="shared" si="11"/>
        <v>553.60298098439887</v>
      </c>
      <c r="F61" s="3">
        <v>1</v>
      </c>
      <c r="G61" s="3">
        <v>1</v>
      </c>
      <c r="H61" s="5">
        <f t="shared" si="12"/>
        <v>35159.476278571441</v>
      </c>
      <c r="I61" s="5">
        <f t="shared" si="13"/>
        <v>33548.271331924305</v>
      </c>
    </row>
    <row r="62" spans="2:22" x14ac:dyDescent="0.3">
      <c r="C62" s="3">
        <f t="shared" si="9"/>
        <v>8199642.5219646618</v>
      </c>
      <c r="D62" s="3">
        <f t="shared" si="10"/>
        <v>2566.0344294225429</v>
      </c>
      <c r="E62" s="3">
        <f t="shared" si="11"/>
        <v>608.96327908283877</v>
      </c>
      <c r="F62" s="3">
        <v>1</v>
      </c>
      <c r="G62" s="3">
        <v>1</v>
      </c>
      <c r="H62" s="5">
        <f t="shared" si="12"/>
        <v>41516.552525302432</v>
      </c>
      <c r="I62" s="5">
        <f t="shared" si="13"/>
        <v>38797.18421103264</v>
      </c>
    </row>
    <row r="63" spans="2:22" x14ac:dyDescent="0.3">
      <c r="C63" s="3">
        <f t="shared" si="9"/>
        <v>9839571.026357593</v>
      </c>
      <c r="D63" s="3">
        <f t="shared" si="10"/>
        <v>2822.6378723647972</v>
      </c>
      <c r="E63" s="3">
        <f t="shared" si="11"/>
        <v>669.85960699112275</v>
      </c>
      <c r="F63" s="3">
        <v>1</v>
      </c>
      <c r="G63" s="3">
        <v>1</v>
      </c>
      <c r="H63" s="5">
        <f t="shared" si="12"/>
        <v>49105.973406670033</v>
      </c>
      <c r="I63" s="5">
        <f t="shared" si="13"/>
        <v>44968.746384694139</v>
      </c>
    </row>
    <row r="64" spans="2:22" x14ac:dyDescent="0.3">
      <c r="C64" s="3">
        <f>C63*$A$4</f>
        <v>11807485.231629111</v>
      </c>
      <c r="D64" s="3">
        <f t="shared" si="10"/>
        <v>3104.9016596012771</v>
      </c>
      <c r="E64" s="3">
        <f t="shared" si="11"/>
        <v>736.84556769023504</v>
      </c>
      <c r="F64" s="3">
        <v>1</v>
      </c>
      <c r="G64" s="3">
        <v>1</v>
      </c>
      <c r="H64" s="5">
        <f t="shared" si="12"/>
        <v>58176.267158230228</v>
      </c>
      <c r="I64" s="5">
        <f t="shared" si="13"/>
        <v>52238.751963759016</v>
      </c>
    </row>
    <row r="65" spans="3:9" x14ac:dyDescent="0.3">
      <c r="C65" s="3">
        <f t="shared" ref="C65:C73" si="14">C64*$A$4</f>
        <v>14168982.277954932</v>
      </c>
      <c r="D65" s="3">
        <f t="shared" si="10"/>
        <v>3415.3918255614049</v>
      </c>
      <c r="E65" s="3">
        <f t="shared" si="11"/>
        <v>810.53012445925856</v>
      </c>
      <c r="F65" s="3">
        <v>1</v>
      </c>
      <c r="G65" s="3">
        <v>1</v>
      </c>
      <c r="H65" s="5">
        <f t="shared" si="12"/>
        <v>69027.126531234011</v>
      </c>
      <c r="I65" s="5">
        <f t="shared" si="13"/>
        <v>60818.115598255434</v>
      </c>
    </row>
    <row r="66" spans="3:9" x14ac:dyDescent="0.3">
      <c r="C66" s="3">
        <f t="shared" si="14"/>
        <v>17002778.733545918</v>
      </c>
      <c r="D66" s="3">
        <f t="shared" si="10"/>
        <v>3756.9310081175458</v>
      </c>
      <c r="E66" s="3">
        <f t="shared" si="11"/>
        <v>891.58313690518446</v>
      </c>
      <c r="F66" s="3">
        <v>1</v>
      </c>
      <c r="G66" s="3">
        <v>1</v>
      </c>
      <c r="H66" s="5">
        <f t="shared" si="12"/>
        <v>82020.050699546162</v>
      </c>
      <c r="I66" s="5">
        <f t="shared" si="13"/>
        <v>70960.06816820681</v>
      </c>
    </row>
    <row r="67" spans="3:9" x14ac:dyDescent="0.3">
      <c r="C67" s="3">
        <f t="shared" si="14"/>
        <v>20403334.480255101</v>
      </c>
      <c r="D67" s="3">
        <f t="shared" si="10"/>
        <v>4132.6241089293007</v>
      </c>
      <c r="E67" s="3">
        <f t="shared" si="11"/>
        <v>980.74145059570299</v>
      </c>
      <c r="F67" s="3">
        <v>1</v>
      </c>
      <c r="G67" s="3">
        <v>1</v>
      </c>
      <c r="H67" s="5">
        <f t="shared" si="12"/>
        <v>97591.21170287914</v>
      </c>
      <c r="I67" s="5">
        <f t="shared" si="13"/>
        <v>82968.845607279727</v>
      </c>
    </row>
    <row r="68" spans="3:9" x14ac:dyDescent="0.3">
      <c r="C68" s="3">
        <f t="shared" si="14"/>
        <v>24484001.37630612</v>
      </c>
      <c r="D68" s="3">
        <f t="shared" si="10"/>
        <v>4545.8865198222311</v>
      </c>
      <c r="E68" s="3">
        <f t="shared" si="11"/>
        <v>1078.8155956552735</v>
      </c>
      <c r="F68" s="3">
        <v>1</v>
      </c>
      <c r="G68" s="3">
        <v>1</v>
      </c>
      <c r="H68" s="5">
        <f t="shared" si="12"/>
        <v>116267.01155255489</v>
      </c>
      <c r="I68" s="5">
        <f t="shared" si="13"/>
        <v>97210.18262093293</v>
      </c>
    </row>
    <row r="69" spans="3:9" x14ac:dyDescent="0.3">
      <c r="C69" s="3">
        <f t="shared" si="14"/>
        <v>29380801.651567344</v>
      </c>
      <c r="D69" s="3">
        <f t="shared" si="10"/>
        <v>5000.4751718044545</v>
      </c>
      <c r="E69" s="3">
        <f t="shared" si="11"/>
        <v>1186.6971552208008</v>
      </c>
      <c r="F69" s="3">
        <v>1</v>
      </c>
      <c r="G69" s="3">
        <v>1</v>
      </c>
      <c r="H69" s="5">
        <f t="shared" si="12"/>
        <v>138682.89390986963</v>
      </c>
      <c r="I69" s="5">
        <f t="shared" si="13"/>
        <v>114123.98835106572</v>
      </c>
    </row>
    <row r="70" spans="3:9" x14ac:dyDescent="0.3">
      <c r="C70" s="3">
        <f t="shared" si="14"/>
        <v>35256961.981880814</v>
      </c>
      <c r="D70" s="3">
        <f t="shared" si="10"/>
        <v>5500.5226889849</v>
      </c>
      <c r="E70" s="3">
        <f t="shared" si="11"/>
        <v>1305.366870742881</v>
      </c>
      <c r="F70" s="3">
        <v>1</v>
      </c>
      <c r="G70" s="3">
        <v>1</v>
      </c>
      <c r="H70" s="5">
        <f t="shared" si="12"/>
        <v>165606.09255534835</v>
      </c>
      <c r="I70" s="5">
        <f t="shared" si="13"/>
        <v>134239.66002250015</v>
      </c>
    </row>
    <row r="71" spans="3:9" x14ac:dyDescent="0.3">
      <c r="C71" s="3">
        <f t="shared" si="14"/>
        <v>42308354.378256977</v>
      </c>
      <c r="D71" s="3">
        <f t="shared" si="10"/>
        <v>6050.5749578833902</v>
      </c>
      <c r="E71" s="3">
        <f t="shared" si="11"/>
        <v>1435.9035578171693</v>
      </c>
      <c r="F71" s="3">
        <v>1</v>
      </c>
      <c r="G71" s="3">
        <v>1</v>
      </c>
      <c r="H71" s="5">
        <f t="shared" si="12"/>
        <v>197963.14200881816</v>
      </c>
      <c r="I71" s="5">
        <f t="shared" si="13"/>
        <v>158194.58615670679</v>
      </c>
    </row>
    <row r="72" spans="3:9" x14ac:dyDescent="0.3">
      <c r="C72" s="3">
        <f t="shared" si="14"/>
        <v>50770025.253908373</v>
      </c>
      <c r="D72" s="3">
        <f t="shared" si="10"/>
        <v>6655.6324536717293</v>
      </c>
      <c r="E72" s="3">
        <f t="shared" si="11"/>
        <v>1579.4939135988864</v>
      </c>
      <c r="F72" s="3">
        <v>1</v>
      </c>
      <c r="G72" s="3">
        <v>1</v>
      </c>
      <c r="H72" s="5">
        <f t="shared" si="12"/>
        <v>236873.1488492013</v>
      </c>
      <c r="I72" s="5">
        <f t="shared" si="13"/>
        <v>186756.50653204502</v>
      </c>
    </row>
    <row r="73" spans="3:9" x14ac:dyDescent="0.3">
      <c r="C73" s="3">
        <f t="shared" si="14"/>
        <v>60924030.304690048</v>
      </c>
      <c r="D73" s="3">
        <f t="shared" si="10"/>
        <v>7321.1956990389026</v>
      </c>
      <c r="E73" s="3">
        <f t="shared" si="11"/>
        <v>1737.4433049587751</v>
      </c>
      <c r="F73" s="3">
        <v>1</v>
      </c>
      <c r="G73" s="3">
        <v>1</v>
      </c>
      <c r="H73" s="5">
        <f t="shared" si="12"/>
        <v>283688.03182791802</v>
      </c>
      <c r="I73" s="5">
        <f t="shared" si="13"/>
        <v>220850.53591444727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0B5C1-8DB8-464E-965A-08C9D0DAE925}">
  <sheetPr codeName="Sheet2"/>
  <dimension ref="A1:W73"/>
  <sheetViews>
    <sheetView zoomScale="70" zoomScaleNormal="70" workbookViewId="0">
      <selection activeCell="W4" sqref="L1:W4"/>
    </sheetView>
  </sheetViews>
  <sheetFormatPr defaultRowHeight="16.5" x14ac:dyDescent="0.3"/>
  <cols>
    <col min="14" max="19" width="11.5" customWidth="1"/>
    <col min="20" max="20" width="23.5" customWidth="1"/>
    <col min="21" max="21" width="12.875" customWidth="1"/>
    <col min="22" max="22" width="14.5" customWidth="1"/>
    <col min="23" max="23" width="17.25" customWidth="1"/>
  </cols>
  <sheetData>
    <row r="1" spans="1:23" x14ac:dyDescent="0.3">
      <c r="A1" t="s">
        <v>161</v>
      </c>
      <c r="B1" s="3" t="s">
        <v>162</v>
      </c>
      <c r="C1" s="3" t="s">
        <v>163</v>
      </c>
      <c r="D1" s="3" t="s">
        <v>164</v>
      </c>
      <c r="E1" s="3" t="s">
        <v>165</v>
      </c>
      <c r="F1" s="3" t="s">
        <v>166</v>
      </c>
      <c r="G1" s="5" t="s">
        <v>167</v>
      </c>
      <c r="H1" s="3" t="s">
        <v>168</v>
      </c>
      <c r="L1" s="12" t="s">
        <v>219</v>
      </c>
      <c r="M1" s="12" t="s">
        <v>220</v>
      </c>
      <c r="N1" s="12" t="s">
        <v>230</v>
      </c>
      <c r="O1" s="12" t="s">
        <v>231</v>
      </c>
      <c r="P1" s="12" t="s">
        <v>232</v>
      </c>
      <c r="Q1" s="12" t="s">
        <v>233</v>
      </c>
      <c r="R1" s="12" t="s">
        <v>234</v>
      </c>
      <c r="S1" s="12" t="s">
        <v>235</v>
      </c>
      <c r="T1" s="12" t="s">
        <v>221</v>
      </c>
      <c r="U1" s="12"/>
      <c r="V1" s="12"/>
      <c r="W1" s="12"/>
    </row>
    <row r="2" spans="1:23" x14ac:dyDescent="0.3">
      <c r="A2" t="s">
        <v>169</v>
      </c>
      <c r="B2" s="3">
        <v>10</v>
      </c>
      <c r="C2" s="3">
        <v>5</v>
      </c>
      <c r="D2" s="3">
        <v>2</v>
      </c>
      <c r="E2" s="3">
        <v>1</v>
      </c>
      <c r="F2" s="3">
        <v>1</v>
      </c>
      <c r="G2" s="5">
        <v>20.2</v>
      </c>
      <c r="H2" s="5">
        <v>35.133333333333333</v>
      </c>
      <c r="L2" s="12">
        <v>1</v>
      </c>
      <c r="M2" s="12" t="s">
        <v>222</v>
      </c>
      <c r="N2" s="12">
        <v>1</v>
      </c>
      <c r="O2" s="12">
        <v>8</v>
      </c>
      <c r="P2" s="12">
        <v>22</v>
      </c>
      <c r="Q2" s="12">
        <v>100</v>
      </c>
      <c r="R2" s="12">
        <v>3</v>
      </c>
      <c r="S2" s="12">
        <v>1600</v>
      </c>
      <c r="T2" s="12" t="s">
        <v>223</v>
      </c>
      <c r="U2" s="12" t="s">
        <v>224</v>
      </c>
      <c r="V2" s="12" t="s">
        <v>225</v>
      </c>
      <c r="W2" s="12"/>
    </row>
    <row r="3" spans="1:23" x14ac:dyDescent="0.3">
      <c r="A3" t="s">
        <v>170</v>
      </c>
      <c r="B3" s="3">
        <v>15</v>
      </c>
      <c r="C3" s="3">
        <v>6</v>
      </c>
      <c r="D3" s="3">
        <v>2.2000000000000002</v>
      </c>
      <c r="E3" s="3">
        <v>1</v>
      </c>
      <c r="F3" s="3">
        <v>1</v>
      </c>
      <c r="G3" s="5">
        <v>24.263999999999999</v>
      </c>
      <c r="H3" s="5">
        <v>42.176000000000002</v>
      </c>
      <c r="L3" s="12">
        <v>2</v>
      </c>
      <c r="M3" s="12" t="s">
        <v>226</v>
      </c>
      <c r="N3" s="12">
        <v>2</v>
      </c>
      <c r="O3" s="12">
        <v>30</v>
      </c>
      <c r="P3" s="12">
        <v>27</v>
      </c>
      <c r="Q3" s="12">
        <v>100</v>
      </c>
      <c r="R3" s="12">
        <v>5</v>
      </c>
      <c r="S3" s="12">
        <v>1600</v>
      </c>
      <c r="T3" s="12" t="s">
        <v>223</v>
      </c>
      <c r="U3" s="12" t="s">
        <v>227</v>
      </c>
      <c r="V3" s="12" t="s">
        <v>228</v>
      </c>
      <c r="W3" s="12" t="s">
        <v>229</v>
      </c>
    </row>
    <row r="4" spans="1:23" x14ac:dyDescent="0.3">
      <c r="A4" t="s">
        <v>171</v>
      </c>
      <c r="B4" s="3">
        <v>22.5</v>
      </c>
      <c r="C4" s="3">
        <v>7.1999999999999993</v>
      </c>
      <c r="D4" s="3">
        <v>2.4200000000000004</v>
      </c>
      <c r="E4" s="3">
        <v>1</v>
      </c>
      <c r="F4" s="3">
        <v>1</v>
      </c>
      <c r="G4" s="5">
        <v>29.148479999999996</v>
      </c>
      <c r="H4" s="5">
        <v>50.632319999999993</v>
      </c>
      <c r="L4" s="12">
        <v>3</v>
      </c>
      <c r="M4" s="12" t="s">
        <v>236</v>
      </c>
      <c r="N4" s="12">
        <v>4</v>
      </c>
      <c r="O4" s="12">
        <v>80</v>
      </c>
      <c r="P4" s="12">
        <v>35</v>
      </c>
      <c r="Q4" s="12">
        <v>100</v>
      </c>
      <c r="R4" s="12">
        <v>10</v>
      </c>
      <c r="S4" s="12">
        <v>1600</v>
      </c>
      <c r="T4" s="12" t="s">
        <v>223</v>
      </c>
      <c r="U4" s="12" t="s">
        <v>237</v>
      </c>
      <c r="V4" s="12" t="s">
        <v>238</v>
      </c>
      <c r="W4" s="12"/>
    </row>
    <row r="5" spans="1:23" x14ac:dyDescent="0.3">
      <c r="A5" t="s">
        <v>172</v>
      </c>
      <c r="B5" s="3">
        <v>33.75</v>
      </c>
      <c r="C5" s="3">
        <v>8.6399999999999988</v>
      </c>
      <c r="D5" s="3">
        <v>2.6620000000000008</v>
      </c>
      <c r="E5" s="3">
        <v>1</v>
      </c>
      <c r="F5" s="3">
        <v>1</v>
      </c>
      <c r="G5" s="5">
        <v>35.019993599999992</v>
      </c>
      <c r="H5" s="5">
        <v>60.78666239999999</v>
      </c>
      <c r="L5" s="12">
        <v>4</v>
      </c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</row>
    <row r="6" spans="1:23" x14ac:dyDescent="0.3">
      <c r="A6" t="s">
        <v>173</v>
      </c>
      <c r="B6" s="3">
        <v>50.625</v>
      </c>
      <c r="C6" s="3">
        <v>10.367999999999999</v>
      </c>
      <c r="D6" s="3">
        <v>2.9282000000000012</v>
      </c>
      <c r="E6" s="3">
        <v>1</v>
      </c>
      <c r="F6" s="3">
        <v>1</v>
      </c>
      <c r="G6" s="5">
        <v>42.079191551999998</v>
      </c>
      <c r="H6" s="5">
        <v>72.980794367999991</v>
      </c>
      <c r="L6" s="12">
        <v>5</v>
      </c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</row>
    <row r="7" spans="1:23" x14ac:dyDescent="0.3">
      <c r="A7" t="s">
        <v>174</v>
      </c>
      <c r="B7" s="3">
        <v>75.9375</v>
      </c>
      <c r="C7" s="3">
        <v>12.441599999999998</v>
      </c>
      <c r="D7" s="3">
        <v>3.2210200000000015</v>
      </c>
      <c r="E7" s="3">
        <v>1</v>
      </c>
      <c r="F7" s="3">
        <v>1</v>
      </c>
      <c r="G7" s="5">
        <v>50.567892848639993</v>
      </c>
      <c r="H7" s="5">
        <v>87.625528565759993</v>
      </c>
      <c r="L7" s="12">
        <v>6</v>
      </c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</row>
    <row r="8" spans="1:23" x14ac:dyDescent="0.3">
      <c r="A8" t="s">
        <v>175</v>
      </c>
      <c r="B8" s="3">
        <v>113.90625</v>
      </c>
      <c r="C8" s="3">
        <v>14.929919999999996</v>
      </c>
      <c r="D8" s="3">
        <v>3.5431220000000021</v>
      </c>
      <c r="E8" s="3">
        <v>1</v>
      </c>
      <c r="F8" s="3">
        <v>1</v>
      </c>
      <c r="G8" s="5">
        <v>60.777650560204783</v>
      </c>
      <c r="H8" s="5">
        <v>105.21475370680317</v>
      </c>
      <c r="L8" s="12">
        <v>7</v>
      </c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</row>
    <row r="9" spans="1:23" x14ac:dyDescent="0.3">
      <c r="A9" t="s">
        <v>176</v>
      </c>
      <c r="B9" s="3">
        <v>170.859375</v>
      </c>
      <c r="C9" s="3">
        <v>16.422911999999997</v>
      </c>
      <c r="D9" s="3">
        <v>3.8974342000000028</v>
      </c>
      <c r="E9" s="3">
        <v>1</v>
      </c>
      <c r="F9" s="3">
        <v>1</v>
      </c>
      <c r="G9" s="5">
        <v>66.971792377847791</v>
      </c>
      <c r="H9" s="5">
        <v>115.81381358523186</v>
      </c>
      <c r="L9" s="12">
        <v>8</v>
      </c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</row>
    <row r="10" spans="1:23" x14ac:dyDescent="0.3">
      <c r="A10" t="s">
        <v>177</v>
      </c>
      <c r="B10" s="3">
        <v>256.2890625</v>
      </c>
      <c r="C10" s="3">
        <v>18.065203199999999</v>
      </c>
      <c r="D10" s="3">
        <v>4.2871776200000031</v>
      </c>
      <c r="E10" s="3">
        <v>1</v>
      </c>
      <c r="F10" s="3">
        <v>1</v>
      </c>
      <c r="G10" s="5">
        <v>73.809787497195842</v>
      </c>
      <c r="H10" s="5">
        <v>127.48907219813056</v>
      </c>
      <c r="L10" s="12">
        <v>9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</row>
    <row r="11" spans="1:23" x14ac:dyDescent="0.3">
      <c r="A11" t="s">
        <v>178</v>
      </c>
      <c r="B11" s="3">
        <v>384.43359375</v>
      </c>
      <c r="C11" s="3">
        <v>19.87172352</v>
      </c>
      <c r="D11" s="3">
        <v>4.7158953820000038</v>
      </c>
      <c r="E11" s="3">
        <v>1</v>
      </c>
      <c r="F11" s="3">
        <v>1</v>
      </c>
      <c r="G11" s="5">
        <v>81.361153463606982</v>
      </c>
      <c r="H11" s="5">
        <v>140.35157089573801</v>
      </c>
      <c r="L11" s="12">
        <v>10</v>
      </c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</row>
    <row r="12" spans="1:23" x14ac:dyDescent="0.3">
      <c r="A12" t="s">
        <v>179</v>
      </c>
      <c r="B12" s="3">
        <v>576.650390625</v>
      </c>
      <c r="C12" s="3">
        <v>21.858895872000002</v>
      </c>
      <c r="D12" s="3">
        <v>5.1874849202000046</v>
      </c>
      <c r="E12" s="3">
        <v>1</v>
      </c>
      <c r="F12" s="3">
        <v>1</v>
      </c>
      <c r="G12" s="5">
        <v>89.703437342164449</v>
      </c>
      <c r="H12" s="5">
        <v>154.52417367344296</v>
      </c>
      <c r="L12" s="12">
        <v>11</v>
      </c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</row>
    <row r="13" spans="1:23" x14ac:dyDescent="0.3">
      <c r="A13" t="s">
        <v>180</v>
      </c>
      <c r="B13" s="3">
        <v>864.9755859375</v>
      </c>
      <c r="C13" s="3">
        <v>24.044785459200003</v>
      </c>
      <c r="D13" s="3">
        <v>5.7062334122200058</v>
      </c>
      <c r="E13" s="3">
        <v>1</v>
      </c>
      <c r="F13" s="3">
        <v>1</v>
      </c>
      <c r="G13" s="5">
        <v>98.923245000338994</v>
      </c>
      <c r="H13" s="5">
        <v>170.14290032342601</v>
      </c>
      <c r="L13" s="12">
        <v>12</v>
      </c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</row>
    <row r="14" spans="1:23" x14ac:dyDescent="0.3">
      <c r="A14" t="s">
        <v>181</v>
      </c>
      <c r="B14" s="3">
        <v>1297.46337890625</v>
      </c>
      <c r="C14" s="3">
        <v>26.449264005120007</v>
      </c>
      <c r="D14" s="3">
        <v>6.276856753442007</v>
      </c>
      <c r="E14" s="3">
        <v>1</v>
      </c>
      <c r="F14" s="3">
        <v>1</v>
      </c>
      <c r="G14" s="5">
        <v>109.11742084836219</v>
      </c>
      <c r="H14" s="5">
        <v>187.3584245877615</v>
      </c>
      <c r="L14" s="12">
        <v>13</v>
      </c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</row>
    <row r="15" spans="1:23" x14ac:dyDescent="0.3">
      <c r="A15" t="s">
        <v>182</v>
      </c>
      <c r="B15" s="3">
        <v>1556.9560546875</v>
      </c>
      <c r="C15" s="3">
        <v>29.094190405632009</v>
      </c>
      <c r="D15" s="3">
        <v>6.9045424287862085</v>
      </c>
      <c r="E15" s="3">
        <v>1</v>
      </c>
      <c r="F15" s="3">
        <v>1</v>
      </c>
      <c r="G15" s="5">
        <v>120.39440306426545</v>
      </c>
      <c r="H15" s="5">
        <v>206.33776046724898</v>
      </c>
      <c r="L15" s="12">
        <v>14</v>
      </c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</row>
    <row r="16" spans="1:23" x14ac:dyDescent="0.3">
      <c r="A16" t="s">
        <v>183</v>
      </c>
      <c r="B16" s="3">
        <v>1868.3472656249999</v>
      </c>
      <c r="C16" s="3">
        <v>32.003609446195213</v>
      </c>
      <c r="D16" s="3">
        <v>7.5949966716648296</v>
      </c>
      <c r="E16" s="3">
        <v>1</v>
      </c>
      <c r="F16" s="3">
        <v>1</v>
      </c>
      <c r="G16" s="5">
        <v>132.87578392928313</v>
      </c>
      <c r="H16" s="5">
        <v>227.26616355303469</v>
      </c>
      <c r="L16" s="12">
        <v>15</v>
      </c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</row>
    <row r="17" spans="1:23" x14ac:dyDescent="0.3">
      <c r="A17" t="s">
        <v>184</v>
      </c>
      <c r="B17" s="3">
        <v>2242.0167187499997</v>
      </c>
      <c r="C17" s="3">
        <v>35.203970390814739</v>
      </c>
      <c r="D17" s="3">
        <v>8.3544963388313125</v>
      </c>
      <c r="E17" s="3">
        <v>1</v>
      </c>
      <c r="F17" s="3">
        <v>1</v>
      </c>
      <c r="G17" s="5">
        <v>146.69811039810671</v>
      </c>
      <c r="H17" s="5">
        <v>250.34927862560167</v>
      </c>
      <c r="L17" s="12">
        <v>16</v>
      </c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</row>
    <row r="18" spans="1:23" x14ac:dyDescent="0.3">
      <c r="A18" t="s">
        <v>185</v>
      </c>
      <c r="B18" s="3">
        <v>2690.4200624999994</v>
      </c>
      <c r="C18" s="3">
        <v>38.724367429896219</v>
      </c>
      <c r="D18" s="3">
        <v>9.1899459727144439</v>
      </c>
      <c r="E18" s="3">
        <v>1</v>
      </c>
      <c r="F18" s="3">
        <v>1</v>
      </c>
      <c r="G18" s="5">
        <v>162.01496660975067</v>
      </c>
      <c r="H18" s="5">
        <v>275.81556993605074</v>
      </c>
      <c r="L18" s="12">
        <v>17</v>
      </c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</row>
    <row r="19" spans="1:23" x14ac:dyDescent="0.3">
      <c r="A19" t="s">
        <v>186</v>
      </c>
      <c r="B19" s="3">
        <v>3228.5040749999994</v>
      </c>
      <c r="C19" s="3">
        <v>42.596804172885847</v>
      </c>
      <c r="D19" s="3">
        <v>10.108940569985888</v>
      </c>
      <c r="E19" s="3">
        <v>1</v>
      </c>
      <c r="F19" s="3">
        <v>1</v>
      </c>
      <c r="G19" s="5">
        <v>178.99938792864398</v>
      </c>
      <c r="H19" s="5">
        <v>303.91907670160128</v>
      </c>
      <c r="L19" s="12">
        <v>18</v>
      </c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</row>
    <row r="20" spans="1:23" x14ac:dyDescent="0.3">
      <c r="A20" t="s">
        <v>187</v>
      </c>
      <c r="B20" s="3">
        <v>3874.2048899999991</v>
      </c>
      <c r="C20" s="3">
        <v>46.856484590174432</v>
      </c>
      <c r="D20" s="3">
        <v>11.119834626984478</v>
      </c>
      <c r="E20" s="3">
        <v>1</v>
      </c>
      <c r="F20" s="3">
        <v>1</v>
      </c>
      <c r="G20" s="5">
        <v>197.84666555758946</v>
      </c>
      <c r="H20" s="5">
        <v>334.94254359581549</v>
      </c>
      <c r="L20" s="12">
        <v>19</v>
      </c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</row>
    <row r="21" spans="1:23" x14ac:dyDescent="0.3">
      <c r="A21" t="s">
        <v>188</v>
      </c>
      <c r="B21" s="3">
        <v>4649.0458679999983</v>
      </c>
      <c r="C21" s="3">
        <v>51.542133049191882</v>
      </c>
      <c r="D21" s="3">
        <v>12.231818089682926</v>
      </c>
      <c r="E21" s="3">
        <v>1</v>
      </c>
      <c r="F21" s="3">
        <v>1</v>
      </c>
      <c r="G21" s="5">
        <v>218.77761210500651</v>
      </c>
      <c r="H21" s="5">
        <v>369.20098461650252</v>
      </c>
      <c r="L21" s="12">
        <v>20</v>
      </c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</row>
    <row r="22" spans="1:23" x14ac:dyDescent="0.3">
      <c r="A22" t="s">
        <v>189</v>
      </c>
      <c r="B22" s="3">
        <v>5578.855041599998</v>
      </c>
      <c r="C22" s="3">
        <v>56.696346354111078</v>
      </c>
      <c r="D22" s="3">
        <v>13.45499989865122</v>
      </c>
      <c r="E22" s="3">
        <v>1</v>
      </c>
      <c r="F22" s="3">
        <v>1</v>
      </c>
      <c r="G22" s="5">
        <v>242.04237210541351</v>
      </c>
      <c r="H22" s="5">
        <v>407.04574893809036</v>
      </c>
      <c r="L22" s="12">
        <v>21</v>
      </c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</row>
    <row r="23" spans="1:23" x14ac:dyDescent="0.3">
      <c r="A23" t="s">
        <v>190</v>
      </c>
      <c r="B23" s="3">
        <v>6694.6260499199971</v>
      </c>
      <c r="C23" s="3">
        <v>62.365980989522193</v>
      </c>
      <c r="D23" s="3">
        <v>14.800499888516343</v>
      </c>
      <c r="E23" s="3">
        <v>1</v>
      </c>
      <c r="F23" s="3">
        <v>1</v>
      </c>
      <c r="G23" s="5">
        <v>267.92487785174148</v>
      </c>
      <c r="H23" s="5">
        <v>448.86916952242382</v>
      </c>
      <c r="L23" s="12">
        <v>22</v>
      </c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</row>
    <row r="24" spans="1:23" x14ac:dyDescent="0.3">
      <c r="A24" t="s">
        <v>191</v>
      </c>
      <c r="B24" s="3">
        <v>8033.5512599039957</v>
      </c>
      <c r="C24" s="3">
        <v>68.602579088474414</v>
      </c>
      <c r="D24" s="3">
        <v>16.280549877367978</v>
      </c>
      <c r="E24" s="3">
        <v>1</v>
      </c>
      <c r="F24" s="3">
        <v>1</v>
      </c>
      <c r="G24" s="5">
        <v>296.74807056521746</v>
      </c>
      <c r="H24" s="5">
        <v>495.10988976020076</v>
      </c>
      <c r="L24" s="12">
        <v>23</v>
      </c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</row>
    <row r="25" spans="1:23" x14ac:dyDescent="0.3">
      <c r="A25" t="s">
        <v>192</v>
      </c>
      <c r="B25" s="3">
        <v>9640.2615118847953</v>
      </c>
      <c r="C25" s="3">
        <v>75.462836997321858</v>
      </c>
      <c r="D25" s="3">
        <v>17.908604865104778</v>
      </c>
      <c r="E25" s="3">
        <v>1</v>
      </c>
      <c r="F25" s="3">
        <v>1</v>
      </c>
      <c r="G25" s="5">
        <v>328.88003058498435</v>
      </c>
      <c r="H25" s="5">
        <v>546.25898071171764</v>
      </c>
      <c r="L25" s="12">
        <v>24</v>
      </c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</row>
    <row r="26" spans="1:23" x14ac:dyDescent="0.3">
      <c r="A26" t="s">
        <v>193</v>
      </c>
      <c r="B26" s="3">
        <v>11568.313814261754</v>
      </c>
      <c r="C26" s="3">
        <v>83.009120697054044</v>
      </c>
      <c r="D26" s="3">
        <v>19.699465351615256</v>
      </c>
      <c r="E26" s="3">
        <v>1</v>
      </c>
      <c r="F26" s="3">
        <v>1</v>
      </c>
      <c r="G26" s="5">
        <v>364.74118872900948</v>
      </c>
      <c r="H26" s="5">
        <v>602.86698217324044</v>
      </c>
      <c r="L26" s="12">
        <v>25</v>
      </c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</row>
    <row r="27" spans="1:23" x14ac:dyDescent="0.3">
      <c r="A27" t="s">
        <v>194</v>
      </c>
      <c r="B27" s="3">
        <v>13881.976577114105</v>
      </c>
      <c r="C27" s="3">
        <v>91.310032766759463</v>
      </c>
      <c r="D27" s="3">
        <v>21.669411886776782</v>
      </c>
      <c r="E27" s="3">
        <v>1</v>
      </c>
      <c r="F27" s="3">
        <v>1</v>
      </c>
      <c r="G27" s="5">
        <v>404.81282525539774</v>
      </c>
      <c r="H27" s="5">
        <v>665.55202549288947</v>
      </c>
      <c r="L27" s="12">
        <v>26</v>
      </c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</row>
    <row r="28" spans="1:23" x14ac:dyDescent="0.3">
      <c r="A28" t="s">
        <v>195</v>
      </c>
      <c r="B28" s="3">
        <v>16658.371892536925</v>
      </c>
      <c r="C28" s="3">
        <v>100.44103604343542</v>
      </c>
      <c r="D28" s="3">
        <v>23.836353075454461</v>
      </c>
      <c r="E28" s="3">
        <v>1</v>
      </c>
      <c r="F28" s="3">
        <v>1</v>
      </c>
      <c r="G28" s="5">
        <v>449.64710414165717</v>
      </c>
      <c r="H28" s="5">
        <v>735.00922561599168</v>
      </c>
      <c r="L28" s="12">
        <v>27</v>
      </c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</row>
    <row r="29" spans="1:23" x14ac:dyDescent="0.3">
      <c r="A29" t="s">
        <v>196</v>
      </c>
      <c r="B29" s="3">
        <v>19990.04627104431</v>
      </c>
      <c r="C29" s="3">
        <v>110.48513964777896</v>
      </c>
      <c r="D29" s="3">
        <v>26.219988382999908</v>
      </c>
      <c r="E29" s="3">
        <v>1</v>
      </c>
      <c r="F29" s="3">
        <v>1</v>
      </c>
      <c r="G29" s="5">
        <v>499.87894015229364</v>
      </c>
      <c r="H29" s="5">
        <v>812.02156524190457</v>
      </c>
      <c r="L29" s="12">
        <v>28</v>
      </c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</row>
    <row r="30" spans="1:23" x14ac:dyDescent="0.3">
      <c r="A30" t="s">
        <v>197</v>
      </c>
      <c r="B30" s="3">
        <v>23988.05552525317</v>
      </c>
      <c r="C30" s="3">
        <v>121.53365361255688</v>
      </c>
      <c r="D30" s="3">
        <v>28.841987221299902</v>
      </c>
      <c r="E30" s="3">
        <v>1</v>
      </c>
      <c r="F30" s="3">
        <v>1</v>
      </c>
      <c r="G30" s="5">
        <v>556.2400561392526</v>
      </c>
      <c r="H30" s="5">
        <v>897.47253641391478</v>
      </c>
      <c r="L30" s="12">
        <v>29</v>
      </c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</row>
    <row r="31" spans="1:23" x14ac:dyDescent="0.3">
      <c r="A31" t="s">
        <v>198</v>
      </c>
      <c r="B31" s="3">
        <v>28785.666630303804</v>
      </c>
      <c r="C31" s="3">
        <v>133.68701897381257</v>
      </c>
      <c r="D31" s="3">
        <v>31.726185943429897</v>
      </c>
      <c r="E31" s="3">
        <v>1</v>
      </c>
      <c r="F31" s="3">
        <v>1</v>
      </c>
      <c r="G31" s="5">
        <v>619.57566033897069</v>
      </c>
      <c r="H31" s="5">
        <v>992.36085577916833</v>
      </c>
      <c r="L31" s="12">
        <v>30</v>
      </c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</row>
    <row r="32" spans="1:23" x14ac:dyDescent="0.3">
      <c r="A32" t="s">
        <v>199</v>
      </c>
      <c r="B32" s="3">
        <v>34542.799956364564</v>
      </c>
      <c r="C32" s="3">
        <v>147.05572087119384</v>
      </c>
      <c r="D32" s="3">
        <v>34.898804537772889</v>
      </c>
      <c r="E32" s="3">
        <v>1</v>
      </c>
      <c r="F32" s="3">
        <v>1</v>
      </c>
      <c r="G32" s="5">
        <v>690.86426066167701</v>
      </c>
      <c r="H32" s="5">
        <v>1097.8176308829579</v>
      </c>
      <c r="L32" s="12">
        <v>31</v>
      </c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</row>
    <row r="33" spans="1:23" x14ac:dyDescent="0.3">
      <c r="A33" t="s">
        <v>200</v>
      </c>
      <c r="B33" s="3">
        <v>41451.359947637473</v>
      </c>
      <c r="C33" s="3">
        <v>161.76129295831325</v>
      </c>
      <c r="D33" s="3">
        <v>38.388684991550178</v>
      </c>
      <c r="E33" s="3">
        <v>1</v>
      </c>
      <c r="F33" s="3">
        <v>1</v>
      </c>
      <c r="G33" s="5">
        <v>771.24123821730404</v>
      </c>
      <c r="H33" s="5">
        <v>1215.1264282975601</v>
      </c>
      <c r="L33" s="12">
        <v>32</v>
      </c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</row>
    <row r="34" spans="1:23" x14ac:dyDescent="0.3">
      <c r="A34" t="s">
        <v>201</v>
      </c>
      <c r="B34" s="3">
        <v>49741.631937164966</v>
      </c>
      <c r="C34" s="3">
        <v>177.93742225414459</v>
      </c>
      <c r="D34" s="3">
        <v>42.227553490705198</v>
      </c>
      <c r="E34" s="3">
        <v>1</v>
      </c>
      <c r="F34" s="3">
        <v>1</v>
      </c>
      <c r="G34" s="5">
        <v>862.02692934128015</v>
      </c>
      <c r="H34" s="5">
        <v>1345.7467826621466</v>
      </c>
      <c r="L34" s="12">
        <v>33</v>
      </c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</row>
    <row r="35" spans="1:23" x14ac:dyDescent="0.3">
      <c r="A35" t="s">
        <v>202</v>
      </c>
      <c r="B35" s="3">
        <v>59689.958324597959</v>
      </c>
      <c r="C35" s="3">
        <v>195.73116447955906</v>
      </c>
      <c r="D35" s="3">
        <v>46.450308839775722</v>
      </c>
      <c r="E35" s="3">
        <v>1</v>
      </c>
      <c r="F35" s="3">
        <v>1</v>
      </c>
      <c r="G35" s="5">
        <v>964.76011871112541</v>
      </c>
      <c r="H35" s="5">
        <v>1491.3417918855062</v>
      </c>
      <c r="L35" s="12">
        <v>34</v>
      </c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</row>
    <row r="36" spans="1:23" x14ac:dyDescent="0.3">
      <c r="A36" t="s">
        <v>203</v>
      </c>
      <c r="B36" s="3">
        <v>71627.949989517554</v>
      </c>
      <c r="C36" s="3">
        <v>215.30428092751498</v>
      </c>
      <c r="D36" s="3">
        <v>51.095339723753298</v>
      </c>
      <c r="E36" s="3">
        <v>1</v>
      </c>
      <c r="F36" s="3">
        <v>1</v>
      </c>
      <c r="G36" s="5">
        <v>1081.2380312694559</v>
      </c>
      <c r="H36" s="5">
        <v>1653.8105715322022</v>
      </c>
      <c r="L36" s="12">
        <v>35</v>
      </c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</row>
    <row r="37" spans="1:23" x14ac:dyDescent="0.3">
      <c r="A37" t="s">
        <v>204</v>
      </c>
      <c r="B37" s="3">
        <v>85953.539987421056</v>
      </c>
      <c r="C37" s="3">
        <v>236.8347090202665</v>
      </c>
      <c r="D37" s="3">
        <v>56.204873696128629</v>
      </c>
      <c r="E37" s="3">
        <v>1</v>
      </c>
      <c r="F37" s="3">
        <v>1</v>
      </c>
      <c r="G37" s="5">
        <v>1213.564134227935</v>
      </c>
      <c r="H37" s="5">
        <v>1835.3264952397783</v>
      </c>
      <c r="L37" s="12">
        <v>36</v>
      </c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</row>
    <row r="38" spans="1:23" x14ac:dyDescent="0.3">
      <c r="A38" t="s">
        <v>205</v>
      </c>
      <c r="B38" s="3">
        <v>103144.24798490526</v>
      </c>
      <c r="C38" s="3">
        <v>260.5181799222932</v>
      </c>
      <c r="D38" s="3">
        <v>61.825361065741497</v>
      </c>
      <c r="E38" s="3">
        <v>1</v>
      </c>
      <c r="F38" s="3">
        <v>1</v>
      </c>
      <c r="G38" s="5">
        <v>1364.2053304468845</v>
      </c>
      <c r="H38" s="5">
        <v>2038.3823332945267</v>
      </c>
      <c r="L38" s="12">
        <v>37</v>
      </c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</row>
    <row r="39" spans="1:23" x14ac:dyDescent="0.3">
      <c r="A39" t="s">
        <v>206</v>
      </c>
      <c r="B39" s="3">
        <v>123773.09758188631</v>
      </c>
      <c r="C39" s="3">
        <v>286.56999791452256</v>
      </c>
      <c r="D39" s="3">
        <v>68.007897172315651</v>
      </c>
      <c r="E39" s="3">
        <v>1</v>
      </c>
      <c r="F39" s="3">
        <v>1</v>
      </c>
      <c r="G39" s="5">
        <v>1536.0604506749214</v>
      </c>
      <c r="H39" s="5">
        <v>2265.8436247462123</v>
      </c>
      <c r="L39" s="12">
        <v>38</v>
      </c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</row>
    <row r="40" spans="1:23" x14ac:dyDescent="0.3">
      <c r="A40" t="s">
        <v>207</v>
      </c>
      <c r="B40" s="3">
        <v>148527.71709826356</v>
      </c>
      <c r="C40" s="3">
        <v>315.22699770597484</v>
      </c>
      <c r="D40" s="3">
        <v>74.808686889547218</v>
      </c>
      <c r="E40" s="3">
        <v>1</v>
      </c>
      <c r="F40" s="3">
        <v>1</v>
      </c>
      <c r="G40" s="5">
        <v>1732.5423462342651</v>
      </c>
      <c r="H40" s="5">
        <v>2521.0118875487342</v>
      </c>
      <c r="L40" s="12">
        <v>39</v>
      </c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</row>
    <row r="41" spans="1:23" x14ac:dyDescent="0.3">
      <c r="A41" t="s">
        <v>208</v>
      </c>
      <c r="B41" s="3">
        <v>178233.26051791626</v>
      </c>
      <c r="C41" s="3">
        <v>346.74969747657235</v>
      </c>
      <c r="D41" s="3">
        <v>82.289555578501947</v>
      </c>
      <c r="E41" s="3">
        <v>1</v>
      </c>
      <c r="F41" s="3">
        <v>1</v>
      </c>
      <c r="G41" s="5">
        <v>1957.6763599528322</v>
      </c>
      <c r="H41" s="5">
        <v>2807.6995957003683</v>
      </c>
      <c r="L41" s="12">
        <v>40</v>
      </c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</row>
    <row r="42" spans="1:23" x14ac:dyDescent="0.3">
      <c r="A42" t="s">
        <v>209</v>
      </c>
      <c r="B42" s="3">
        <v>213879.9126214995</v>
      </c>
      <c r="C42" s="3">
        <v>381.42466722422961</v>
      </c>
      <c r="D42" s="3">
        <v>90.518511136352146</v>
      </c>
      <c r="E42" s="3">
        <v>1</v>
      </c>
      <c r="F42" s="3">
        <v>1</v>
      </c>
      <c r="G42" s="5">
        <v>2216.2185286532354</v>
      </c>
      <c r="H42" s="5">
        <v>3130.319243740485</v>
      </c>
      <c r="L42" s="12">
        <v>41</v>
      </c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</row>
    <row r="43" spans="1:23" x14ac:dyDescent="0.3">
      <c r="A43" t="s">
        <v>210</v>
      </c>
      <c r="B43" s="3">
        <v>256655.89514579938</v>
      </c>
      <c r="C43" s="3">
        <v>419.56713394665258</v>
      </c>
      <c r="D43" s="3">
        <v>99.570362249987369</v>
      </c>
      <c r="E43" s="3">
        <v>1</v>
      </c>
      <c r="F43" s="3">
        <v>1</v>
      </c>
      <c r="G43" s="5">
        <v>2513.7975660917537</v>
      </c>
      <c r="H43" s="5">
        <v>3493.9892911633306</v>
      </c>
      <c r="L43" s="12">
        <v>42</v>
      </c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</row>
    <row r="44" spans="1:23" x14ac:dyDescent="0.3">
      <c r="A44" t="s">
        <v>211</v>
      </c>
      <c r="B44" s="3">
        <v>307987.07417495927</v>
      </c>
      <c r="C44" s="3">
        <v>461.52384734131789</v>
      </c>
      <c r="D44" s="3">
        <v>109.52739847498611</v>
      </c>
      <c r="E44" s="3">
        <v>1</v>
      </c>
      <c r="F44" s="3">
        <v>1</v>
      </c>
      <c r="G44" s="5">
        <v>2857.0855160344954</v>
      </c>
      <c r="H44" s="5">
        <v>3904.6603491687079</v>
      </c>
      <c r="L44" s="12">
        <v>43</v>
      </c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</row>
    <row r="45" spans="1:23" x14ac:dyDescent="0.3">
      <c r="A45" t="s">
        <v>212</v>
      </c>
      <c r="B45" s="3">
        <v>369584.48900995112</v>
      </c>
      <c r="C45" s="3">
        <v>507.67623207544972</v>
      </c>
      <c r="D45" s="3">
        <v>120.48013832248473</v>
      </c>
      <c r="E45" s="3">
        <v>1</v>
      </c>
      <c r="F45" s="3">
        <v>1</v>
      </c>
      <c r="G45" s="5">
        <v>3254.0029815715598</v>
      </c>
      <c r="H45" s="5">
        <v>4369.265660041322</v>
      </c>
      <c r="L45" s="12">
        <v>44</v>
      </c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</row>
    <row r="46" spans="1:23" x14ac:dyDescent="0.3">
      <c r="A46" t="s">
        <v>213</v>
      </c>
      <c r="B46" s="3">
        <v>443501.38681194134</v>
      </c>
      <c r="C46" s="3">
        <v>558.44385528299472</v>
      </c>
      <c r="D46" s="3">
        <v>132.52815215473322</v>
      </c>
      <c r="E46" s="3">
        <v>1</v>
      </c>
      <c r="F46" s="3">
        <v>1</v>
      </c>
      <c r="G46" s="5">
        <v>3713.9660655883899</v>
      </c>
      <c r="H46" s="5">
        <v>4895.9007499519039</v>
      </c>
      <c r="L46" s="12">
        <v>45</v>
      </c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</row>
    <row r="47" spans="1:23" x14ac:dyDescent="0.3">
      <c r="A47" t="s">
        <v>214</v>
      </c>
      <c r="B47" s="3">
        <v>532201.66417432961</v>
      </c>
      <c r="C47" s="3">
        <v>614.28824081129426</v>
      </c>
      <c r="D47" s="3">
        <v>145.78096737020655</v>
      </c>
      <c r="E47" s="3">
        <v>1</v>
      </c>
      <c r="F47" s="3">
        <v>1</v>
      </c>
      <c r="G47" s="5">
        <v>4248.1836430374351</v>
      </c>
      <c r="H47" s="5">
        <v>5494.0381388738979</v>
      </c>
      <c r="L47" s="12">
        <v>46</v>
      </c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</row>
    <row r="48" spans="1:23" x14ac:dyDescent="0.3">
      <c r="A48" t="s">
        <v>215</v>
      </c>
      <c r="B48" s="3">
        <v>638641.9970091955</v>
      </c>
      <c r="C48" s="3">
        <v>675.71706489242376</v>
      </c>
      <c r="D48" s="3">
        <v>160.35906410722723</v>
      </c>
      <c r="E48" s="3">
        <v>1</v>
      </c>
      <c r="F48" s="3">
        <v>1</v>
      </c>
      <c r="G48" s="5">
        <v>4870.0153821183267</v>
      </c>
      <c r="H48" s="5">
        <v>6174.7842026127209</v>
      </c>
      <c r="L48" s="12">
        <v>47</v>
      </c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</row>
    <row r="49" spans="1:23" x14ac:dyDescent="0.3">
      <c r="A49" t="s">
        <v>216</v>
      </c>
      <c r="B49" s="3">
        <v>766370.39641103463</v>
      </c>
      <c r="C49" s="3">
        <v>743.28877138166615</v>
      </c>
      <c r="D49" s="3">
        <v>176.39497051794996</v>
      </c>
      <c r="E49" s="3">
        <v>1</v>
      </c>
      <c r="F49" s="3">
        <v>1</v>
      </c>
      <c r="G49" s="5">
        <v>5595.4031038105095</v>
      </c>
      <c r="H49" s="5">
        <v>6951.1867451942271</v>
      </c>
      <c r="L49" s="12">
        <v>48</v>
      </c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</row>
    <row r="50" spans="1:23" x14ac:dyDescent="0.3">
      <c r="A50" t="s">
        <v>217</v>
      </c>
      <c r="B50" s="3">
        <v>919644.47569324158</v>
      </c>
      <c r="C50" s="3">
        <v>817.61764851983287</v>
      </c>
      <c r="D50" s="3">
        <v>194.03446756974498</v>
      </c>
      <c r="E50" s="3">
        <v>1</v>
      </c>
      <c r="F50" s="3">
        <v>1</v>
      </c>
      <c r="G50" s="5">
        <v>6443.390696202785</v>
      </c>
      <c r="H50" s="5">
        <v>7838.603607721132</v>
      </c>
      <c r="L50" s="12">
        <v>49</v>
      </c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</row>
    <row r="51" spans="1:23" x14ac:dyDescent="0.3">
      <c r="A51" t="s">
        <v>218</v>
      </c>
      <c r="B51" s="3">
        <v>1103573.3708318898</v>
      </c>
      <c r="C51" s="3">
        <v>899.37941337181621</v>
      </c>
      <c r="D51" s="3">
        <v>213.43791432671949</v>
      </c>
      <c r="E51" s="3">
        <v>1</v>
      </c>
      <c r="F51" s="3">
        <v>1</v>
      </c>
      <c r="G51" s="5">
        <v>7436.7509770566439</v>
      </c>
      <c r="H51" s="5">
        <v>8855.1447759822986</v>
      </c>
    </row>
    <row r="52" spans="1:23" x14ac:dyDescent="0.3">
      <c r="B52" s="3">
        <v>1324288.0449982677</v>
      </c>
      <c r="C52" s="3">
        <v>989.31735470899787</v>
      </c>
      <c r="D52" s="3">
        <v>234.78170575939146</v>
      </c>
      <c r="E52" s="3">
        <v>1</v>
      </c>
      <c r="F52" s="3">
        <v>1</v>
      </c>
      <c r="G52" s="5">
        <v>8602.7417403549407</v>
      </c>
      <c r="H52" s="5">
        <v>10022.203030642284</v>
      </c>
    </row>
    <row r="53" spans="1:23" x14ac:dyDescent="0.3">
      <c r="B53" s="3">
        <v>1589145.6539979212</v>
      </c>
      <c r="C53" s="3">
        <v>1088.2490901798978</v>
      </c>
      <c r="D53" s="3">
        <v>258.2598763353306</v>
      </c>
      <c r="E53" s="3">
        <v>1</v>
      </c>
      <c r="F53" s="3">
        <v>1</v>
      </c>
      <c r="G53" s="5">
        <v>9974.0178697575211</v>
      </c>
      <c r="H53" s="5">
        <v>11365.091303951238</v>
      </c>
    </row>
    <row r="54" spans="1:23" x14ac:dyDescent="0.3">
      <c r="B54" s="3">
        <v>1906974.7847975052</v>
      </c>
      <c r="C54" s="3">
        <v>1197.0739991978878</v>
      </c>
      <c r="D54" s="3">
        <v>284.08586396886369</v>
      </c>
      <c r="E54" s="3">
        <v>1</v>
      </c>
      <c r="F54" s="3">
        <v>1</v>
      </c>
      <c r="G54" s="5">
        <v>11589.732022727447</v>
      </c>
      <c r="H54" s="5">
        <v>12913.808678342479</v>
      </c>
    </row>
    <row r="55" spans="1:23" x14ac:dyDescent="0.3">
      <c r="B55" s="3">
        <v>2288369.7417570064</v>
      </c>
      <c r="C55" s="3">
        <v>1316.7813991176768</v>
      </c>
      <c r="D55" s="3">
        <v>312.49445036575008</v>
      </c>
      <c r="E55" s="3">
        <v>1</v>
      </c>
      <c r="F55" s="3">
        <v>1</v>
      </c>
      <c r="G55" s="5">
        <v>13496.863187853143</v>
      </c>
      <c r="H55" s="5">
        <v>14703.961521412028</v>
      </c>
    </row>
    <row r="56" spans="1:23" x14ac:dyDescent="0.3">
      <c r="B56" s="3">
        <v>2746043.6901084078</v>
      </c>
      <c r="C56" s="3">
        <v>1448.4595390294446</v>
      </c>
      <c r="D56" s="3">
        <v>343.74389540232511</v>
      </c>
      <c r="E56" s="3">
        <v>1</v>
      </c>
      <c r="F56" s="3">
        <v>1</v>
      </c>
      <c r="G56" s="5">
        <v>15751.820641690527</v>
      </c>
      <c r="H56" s="5">
        <v>16777.871763587944</v>
      </c>
    </row>
    <row r="57" spans="1:23" x14ac:dyDescent="0.3">
      <c r="B57" s="3">
        <v>3295252.4281300893</v>
      </c>
      <c r="C57" s="3">
        <v>1593.3054929323891</v>
      </c>
      <c r="D57" s="3">
        <v>378.11828494255764</v>
      </c>
      <c r="E57" s="3">
        <v>1</v>
      </c>
      <c r="F57" s="3">
        <v>1</v>
      </c>
      <c r="G57" s="5">
        <v>18422.380779272582</v>
      </c>
      <c r="H57" s="5">
        <v>19185.91098888874</v>
      </c>
    </row>
    <row r="58" spans="1:23" x14ac:dyDescent="0.3">
      <c r="B58" s="3">
        <v>3954302.913756107</v>
      </c>
      <c r="C58" s="3">
        <v>1752.6360422256282</v>
      </c>
      <c r="D58" s="3">
        <v>415.93011343681343</v>
      </c>
      <c r="E58" s="3">
        <v>1</v>
      </c>
      <c r="F58" s="3">
        <v>1</v>
      </c>
      <c r="G58" s="5">
        <v>21590.02632602958</v>
      </c>
      <c r="H58" s="5">
        <v>21988.107066997443</v>
      </c>
    </row>
    <row r="59" spans="1:23" x14ac:dyDescent="0.3">
      <c r="B59" s="3">
        <v>4745163.496507328</v>
      </c>
      <c r="C59" s="3">
        <v>1927.8996464481911</v>
      </c>
      <c r="D59" s="3">
        <v>457.52312478049481</v>
      </c>
      <c r="E59" s="3">
        <v>1</v>
      </c>
      <c r="F59" s="3">
        <v>1</v>
      </c>
      <c r="G59" s="5">
        <v>25352.771995916519</v>
      </c>
      <c r="H59" s="5">
        <v>25256.079798553175</v>
      </c>
    </row>
    <row r="60" spans="1:23" x14ac:dyDescent="0.3">
      <c r="B60" s="3">
        <v>5694196.1958087934</v>
      </c>
      <c r="C60" s="3">
        <v>2120.6896110930102</v>
      </c>
      <c r="D60" s="3">
        <v>503.27543725854434</v>
      </c>
      <c r="E60" s="3">
        <v>1</v>
      </c>
      <c r="F60" s="3">
        <v>1</v>
      </c>
      <c r="G60" s="5">
        <v>29828.578270621783</v>
      </c>
      <c r="H60" s="5">
        <v>29075.373828484233</v>
      </c>
    </row>
    <row r="61" spans="1:23" x14ac:dyDescent="0.3">
      <c r="B61" s="3">
        <v>6833035.4349705521</v>
      </c>
      <c r="C61" s="3">
        <v>2332.7585722023114</v>
      </c>
      <c r="D61" s="3">
        <v>553.60298098439887</v>
      </c>
      <c r="E61" s="3">
        <v>1</v>
      </c>
      <c r="F61" s="3">
        <v>1</v>
      </c>
      <c r="G61" s="5">
        <v>35159.476278571441</v>
      </c>
      <c r="H61" s="5">
        <v>33548.271331924305</v>
      </c>
    </row>
    <row r="62" spans="1:23" x14ac:dyDescent="0.3">
      <c r="B62" s="3">
        <v>8199642.5219646618</v>
      </c>
      <c r="C62" s="3">
        <v>2566.0344294225429</v>
      </c>
      <c r="D62" s="3">
        <v>608.96327908283877</v>
      </c>
      <c r="E62" s="3">
        <v>1</v>
      </c>
      <c r="F62" s="3">
        <v>1</v>
      </c>
      <c r="G62" s="5">
        <v>41516.552525302432</v>
      </c>
      <c r="H62" s="5">
        <v>38797.18421103264</v>
      </c>
    </row>
    <row r="63" spans="1:23" x14ac:dyDescent="0.3">
      <c r="B63" s="3">
        <v>9839571.026357593</v>
      </c>
      <c r="C63" s="3">
        <v>2822.6378723647972</v>
      </c>
      <c r="D63" s="3">
        <v>669.85960699112275</v>
      </c>
      <c r="E63" s="3">
        <v>1</v>
      </c>
      <c r="F63" s="3">
        <v>1</v>
      </c>
      <c r="G63" s="5">
        <v>49105.973406670033</v>
      </c>
      <c r="H63" s="5">
        <v>44968.746384694139</v>
      </c>
    </row>
    <row r="64" spans="1:23" x14ac:dyDescent="0.3">
      <c r="B64" s="3">
        <v>11807485.231629111</v>
      </c>
      <c r="C64" s="3">
        <v>3104.9016596012771</v>
      </c>
      <c r="D64" s="3">
        <v>736.84556769023504</v>
      </c>
      <c r="E64" s="3">
        <v>1</v>
      </c>
      <c r="F64" s="3">
        <v>1</v>
      </c>
      <c r="G64" s="5">
        <v>58176.267158230228</v>
      </c>
      <c r="H64" s="5">
        <v>52238.751963759016</v>
      </c>
    </row>
    <row r="65" spans="2:8" x14ac:dyDescent="0.3">
      <c r="B65" s="3">
        <v>14168982.277954932</v>
      </c>
      <c r="C65" s="3">
        <v>3415.3918255614049</v>
      </c>
      <c r="D65" s="3">
        <v>810.53012445925856</v>
      </c>
      <c r="E65" s="3">
        <v>1</v>
      </c>
      <c r="F65" s="3">
        <v>1</v>
      </c>
      <c r="G65" s="5">
        <v>69027.126531234011</v>
      </c>
      <c r="H65" s="5">
        <v>60818.115598255434</v>
      </c>
    </row>
    <row r="66" spans="2:8" x14ac:dyDescent="0.3">
      <c r="B66" s="3">
        <v>17002778.733545918</v>
      </c>
      <c r="C66" s="3">
        <v>3756.9310081175458</v>
      </c>
      <c r="D66" s="3">
        <v>891.58313690518446</v>
      </c>
      <c r="E66" s="3">
        <v>1</v>
      </c>
      <c r="F66" s="3">
        <v>1</v>
      </c>
      <c r="G66" s="5">
        <v>82020.050699546162</v>
      </c>
      <c r="H66" s="5">
        <v>70960.06816820681</v>
      </c>
    </row>
    <row r="67" spans="2:8" x14ac:dyDescent="0.3">
      <c r="B67" s="3">
        <v>20403334.480255101</v>
      </c>
      <c r="C67" s="3">
        <v>4132.6241089293007</v>
      </c>
      <c r="D67" s="3">
        <v>980.74145059570299</v>
      </c>
      <c r="E67" s="3">
        <v>1</v>
      </c>
      <c r="F67" s="3">
        <v>1</v>
      </c>
      <c r="G67" s="5">
        <v>97591.21170287914</v>
      </c>
      <c r="H67" s="5">
        <v>82968.845607279727</v>
      </c>
    </row>
    <row r="68" spans="2:8" x14ac:dyDescent="0.3">
      <c r="B68" s="3">
        <v>24484001.37630612</v>
      </c>
      <c r="C68" s="3">
        <v>4545.8865198222311</v>
      </c>
      <c r="D68" s="3">
        <v>1078.8155956552735</v>
      </c>
      <c r="E68" s="3">
        <v>1</v>
      </c>
      <c r="F68" s="3">
        <v>1</v>
      </c>
      <c r="G68" s="5">
        <v>116267.01155255489</v>
      </c>
      <c r="H68" s="5">
        <v>97210.18262093293</v>
      </c>
    </row>
    <row r="69" spans="2:8" x14ac:dyDescent="0.3">
      <c r="B69" s="3">
        <v>29380801.651567344</v>
      </c>
      <c r="C69" s="3">
        <v>5000.4751718044545</v>
      </c>
      <c r="D69" s="3">
        <v>1186.6971552208008</v>
      </c>
      <c r="E69" s="3">
        <v>1</v>
      </c>
      <c r="F69" s="3">
        <v>1</v>
      </c>
      <c r="G69" s="5">
        <v>138682.89390986963</v>
      </c>
      <c r="H69" s="5">
        <v>114123.98835106572</v>
      </c>
    </row>
    <row r="70" spans="2:8" x14ac:dyDescent="0.3">
      <c r="B70" s="3">
        <v>35256961.981880814</v>
      </c>
      <c r="C70" s="3">
        <v>5500.5226889849</v>
      </c>
      <c r="D70" s="3">
        <v>1305.366870742881</v>
      </c>
      <c r="E70" s="3">
        <v>1</v>
      </c>
      <c r="F70" s="3">
        <v>1</v>
      </c>
      <c r="G70" s="5">
        <v>165606.09255534835</v>
      </c>
      <c r="H70" s="5">
        <v>134239.66002250015</v>
      </c>
    </row>
    <row r="71" spans="2:8" x14ac:dyDescent="0.3">
      <c r="B71" s="3">
        <v>42308354.378256977</v>
      </c>
      <c r="C71" s="3">
        <v>6050.5749578833902</v>
      </c>
      <c r="D71" s="3">
        <v>1435.9035578171693</v>
      </c>
      <c r="E71" s="3">
        <v>1</v>
      </c>
      <c r="F71" s="3">
        <v>1</v>
      </c>
      <c r="G71" s="5">
        <v>197963.14200881816</v>
      </c>
      <c r="H71" s="5">
        <v>158194.58615670679</v>
      </c>
    </row>
    <row r="72" spans="2:8" x14ac:dyDescent="0.3">
      <c r="B72" s="3">
        <v>50770025.253908373</v>
      </c>
      <c r="C72" s="3">
        <v>6655.6324536717293</v>
      </c>
      <c r="D72" s="3">
        <v>1579.4939135988864</v>
      </c>
      <c r="E72" s="3">
        <v>1</v>
      </c>
      <c r="F72" s="3">
        <v>1</v>
      </c>
      <c r="G72" s="5">
        <v>236873.1488492013</v>
      </c>
      <c r="H72" s="5">
        <v>186756.50653204502</v>
      </c>
    </row>
    <row r="73" spans="2:8" x14ac:dyDescent="0.3">
      <c r="B73" s="3">
        <v>60924030.304690048</v>
      </c>
      <c r="C73" s="3">
        <v>7321.1956990389026</v>
      </c>
      <c r="D73" s="3">
        <v>1737.4433049587751</v>
      </c>
      <c r="E73" s="3">
        <v>1</v>
      </c>
      <c r="F73" s="3">
        <v>1</v>
      </c>
      <c r="G73" s="5">
        <v>283688.03182791802</v>
      </c>
      <c r="H73" s="5">
        <v>220850.53591444727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DataCreate</vt:lpstr>
      <vt:lpstr>LevelDesign</vt:lpstr>
      <vt:lpstr>Sheet4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단진형</dc:creator>
  <cp:lastModifiedBy>단진형</cp:lastModifiedBy>
  <dcterms:created xsi:type="dcterms:W3CDTF">2023-09-09T11:41:19Z</dcterms:created>
  <dcterms:modified xsi:type="dcterms:W3CDTF">2023-10-18T20:10:53Z</dcterms:modified>
</cp:coreProperties>
</file>